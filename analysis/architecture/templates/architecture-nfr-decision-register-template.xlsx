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Work\Legacy\xplanner2\analysis\architecture\templates\"/>
    </mc:Choice>
  </mc:AlternateContent>
  <xr:revisionPtr revIDLastSave="0" documentId="13_ncr:1_{93965498-CED7-4530-A49A-B362F785DD6D}" xr6:coauthVersionLast="36" xr6:coauthVersionMax="36" xr10:uidLastSave="{00000000-0000-0000-0000-000000000000}"/>
  <bookViews>
    <workbookView xWindow="0" yWindow="0" windowWidth="37485" windowHeight="17985" xr2:uid="{00000000-000D-0000-FFFF-FFFF00000000}"/>
  </bookViews>
  <sheets>
    <sheet name="Overview" sheetId="1" r:id="rId1"/>
    <sheet name="Legacy Discovery" sheetId="6" r:id="rId2"/>
    <sheet name="NFR Register" sheetId="2" r:id="rId3"/>
    <sheet name="System Diagram Gate" sheetId="8" r:id="rId4"/>
    <sheet name="Team Capability" sheetId="4" r:id="rId5"/>
    <sheet name="Technology Stack" sheetId="5" r:id="rId6"/>
    <sheet name="Integration Contracts" sheetId="9" r:id="rId7"/>
    <sheet name="Client Questionnaire" sheetId="7" r:id="rId8"/>
    <sheet name="Reference Data" sheetId="3" r:id="rId9"/>
  </sheets>
  <calcPr calcId="191029"/>
</workbook>
</file>

<file path=xl/calcChain.xml><?xml version="1.0" encoding="utf-8"?>
<calcChain xmlns="http://schemas.openxmlformats.org/spreadsheetml/2006/main">
  <c r="E4" i="5" l="1"/>
  <c r="C4" i="5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E5" i="4" s="1"/>
  <c r="C5" i="4"/>
  <c r="K5" i="4" s="1"/>
  <c r="W54" i="2"/>
  <c r="W53" i="2"/>
  <c r="W52" i="2"/>
  <c r="W51" i="2"/>
  <c r="W50" i="2"/>
  <c r="W49" i="2"/>
  <c r="W48" i="2"/>
  <c r="W47" i="2"/>
  <c r="W46" i="2"/>
  <c r="W45" i="2"/>
  <c r="W44" i="2"/>
  <c r="W43" i="2"/>
  <c r="W42" i="2"/>
  <c r="W41" i="2"/>
  <c r="W40" i="2"/>
  <c r="W39" i="2"/>
  <c r="W38" i="2"/>
  <c r="W37" i="2"/>
  <c r="W36" i="2"/>
  <c r="W35" i="2"/>
  <c r="W34" i="2"/>
  <c r="W33" i="2"/>
  <c r="W32" i="2"/>
  <c r="W31" i="2"/>
  <c r="W30" i="2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9" i="2"/>
  <c r="W8" i="2"/>
  <c r="W7" i="2"/>
  <c r="W6" i="2"/>
  <c r="I5" i="6"/>
  <c r="G5" i="6"/>
  <c r="E5" i="6"/>
  <c r="C5" i="6"/>
  <c r="D8" i="1"/>
  <c r="C8" i="1"/>
  <c r="D7" i="1"/>
  <c r="C7" i="1"/>
  <c r="D6" i="1"/>
  <c r="C6" i="1"/>
  <c r="I5" i="9"/>
  <c r="G5" i="9"/>
  <c r="E5" i="9"/>
  <c r="C5" i="9"/>
  <c r="A5" i="9"/>
  <c r="A4" i="5"/>
  <c r="A5" i="4"/>
  <c r="A5" i="6"/>
  <c r="B8" i="1"/>
  <c r="B7" i="1"/>
  <c r="B6" i="1"/>
  <c r="G4" i="5" l="1"/>
  <c r="G5" i="4"/>
  <c r="I5" i="4" s="1"/>
  <c r="K5" i="6"/>
  <c r="F8" i="1"/>
  <c r="G8" i="1" s="1"/>
  <c r="H8" i="1" s="1"/>
  <c r="E8" i="1"/>
  <c r="D9" i="1"/>
  <c r="F7" i="1"/>
  <c r="G7" i="1" s="1"/>
  <c r="H7" i="1" s="1"/>
  <c r="C9" i="1"/>
  <c r="E6" i="1"/>
  <c r="F6" i="1"/>
  <c r="E7" i="1"/>
  <c r="B9" i="1"/>
  <c r="E9" i="1" l="1"/>
  <c r="F9" i="1"/>
  <c r="G9" i="1" s="1"/>
  <c r="G6" i="1"/>
  <c r="H9" i="1" l="1"/>
  <c r="H6" i="1"/>
</calcChain>
</file>

<file path=xl/sharedStrings.xml><?xml version="1.0" encoding="utf-8"?>
<sst xmlns="http://schemas.openxmlformats.org/spreadsheetml/2006/main" count="1695" uniqueCount="926">
  <si>
    <t>A</t>
  </si>
  <si>
    <t>B</t>
  </si>
  <si>
    <t>C</t>
  </si>
  <si>
    <t>Legacy Architecture Discovery</t>
  </si>
  <si>
    <t>ID</t>
  </si>
  <si>
    <t>Legacy area</t>
  </si>
  <si>
    <t>Discovery requirement</t>
  </si>
  <si>
    <t>Code review</t>
  </si>
  <si>
    <t>Live walkthrough</t>
  </si>
  <si>
    <t>Client interview</t>
  </si>
  <si>
    <t>Code findings</t>
  </si>
  <si>
    <t>Live findings</t>
  </si>
  <si>
    <t>Client input</t>
  </si>
  <si>
    <t>Current legacy behavior</t>
  </si>
  <si>
    <t>Unknowns / risks</t>
  </si>
  <si>
    <t>Verification status</t>
  </si>
  <si>
    <t>Evidence links</t>
  </si>
  <si>
    <t>Linked NFR</t>
  </si>
  <si>
    <t>Discovery owner</t>
  </si>
  <si>
    <t>Independent review</t>
  </si>
  <si>
    <t>Notes</t>
  </si>
  <si>
    <t>LD-001</t>
  </si>
  <si>
    <t>A06</t>
  </si>
  <si>
    <t>LD-002</t>
  </si>
  <si>
    <t>A10</t>
  </si>
  <si>
    <t>LD-003</t>
  </si>
  <si>
    <t>A11</t>
  </si>
  <si>
    <t>LD-004</t>
  </si>
  <si>
    <t>A12</t>
  </si>
  <si>
    <t>LD-005</t>
  </si>
  <si>
    <t>A13</t>
  </si>
  <si>
    <t>LD-006</t>
  </si>
  <si>
    <t>A14; B02</t>
  </si>
  <si>
    <t>LD-007</t>
  </si>
  <si>
    <t>A15</t>
  </si>
  <si>
    <t>LD-008</t>
  </si>
  <si>
    <t>LD-009</t>
  </si>
  <si>
    <t>A16</t>
  </si>
  <si>
    <t>LD-010</t>
  </si>
  <si>
    <t>B01</t>
  </si>
  <si>
    <t>LD-011</t>
  </si>
  <si>
    <t>Security operations</t>
  </si>
  <si>
    <t>B02</t>
  </si>
  <si>
    <t>LD-012</t>
  </si>
  <si>
    <t>B03; A04</t>
  </si>
  <si>
    <t>LD-013</t>
  </si>
  <si>
    <t>B07</t>
  </si>
  <si>
    <t>LD-014</t>
  </si>
  <si>
    <t>B11</t>
  </si>
  <si>
    <t>LD-015</t>
  </si>
  <si>
    <t>B14</t>
  </si>
  <si>
    <t>LD-016</t>
  </si>
  <si>
    <t>UI localization</t>
  </si>
  <si>
    <t>A17</t>
  </si>
  <si>
    <t>LD-017</t>
  </si>
  <si>
    <t>LD-018</t>
  </si>
  <si>
    <t>LD-019</t>
  </si>
  <si>
    <t>C03; A16</t>
  </si>
  <si>
    <t>Decision record / ADR</t>
  </si>
  <si>
    <t>A01</t>
  </si>
  <si>
    <t>Solution Architect</t>
  </si>
  <si>
    <t>A02</t>
  </si>
  <si>
    <t>A03</t>
  </si>
  <si>
    <t>A04</t>
  </si>
  <si>
    <t>Backup, replication, disaster recovery, restore procedure</t>
  </si>
  <si>
    <t>Claude</t>
  </si>
  <si>
    <t>A07</t>
  </si>
  <si>
    <t>Solution Architect; Operations / DevOps</t>
  </si>
  <si>
    <t>A08</t>
  </si>
  <si>
    <t>CSV Claude</t>
  </si>
  <si>
    <t>Architecture decision</t>
  </si>
  <si>
    <t>Solution Architect; Security / Compliance; Operations / DevOps</t>
  </si>
  <si>
    <t>Manager review 2026-08-11</t>
  </si>
  <si>
    <t>Manager</t>
  </si>
  <si>
    <t>Manager notes supplied to Codex, 2026-08-11</t>
  </si>
  <si>
    <t>Identity provider, ASP.NET Core Identity, cookie/JWT, gateway</t>
  </si>
  <si>
    <t>Solution Architect; Security / Compliance</t>
  </si>
  <si>
    <t>Role model, API policies, Angular hide/disable rules, tenant boundaries, migration Identity data and acceptance tests</t>
  </si>
  <si>
    <t>Legacy parity</t>
  </si>
  <si>
    <t>Legacy parity + Manager review 2026-08-11</t>
  </si>
  <si>
    <t>Owner / Manager</t>
  </si>
  <si>
    <t>A14</t>
  </si>
  <si>
    <t>Security / Compliance</t>
  </si>
  <si>
    <t>REST/gRPC/events, adapter, outbox, retries, circuit breaker, idempotency</t>
  </si>
  <si>
    <t>Scheduler, outbox, worker topology, transaction boundaries, retry/replay, operations and deployment</t>
  </si>
  <si>
    <t>Solution Architect; Operations / DevOps; Technical Lead</t>
  </si>
  <si>
    <t>A18</t>
  </si>
  <si>
    <t>Product packaging, tenant configuration, release compatibility, test matrix, support cost and upgrade path</t>
  </si>
  <si>
    <t>Target-only business requirement</t>
  </si>
  <si>
    <t>A20</t>
  </si>
  <si>
    <t>Observability</t>
  </si>
  <si>
    <t>Logging/APM stack, dashboards, incident response, health checks</t>
  </si>
  <si>
    <t>Identity configuration, audit storage, monitoring, runbooks</t>
  </si>
  <si>
    <t>B03</t>
  </si>
  <si>
    <t>Backup tooling, storage, runbooks, DR readiness</t>
  </si>
  <si>
    <t>Operations / DevOps</t>
  </si>
  <si>
    <t>B04</t>
  </si>
  <si>
    <t>CI quality gates</t>
  </si>
  <si>
    <t>CI pipeline, code quality tooling, test architecture</t>
  </si>
  <si>
    <t>A05</t>
  </si>
  <si>
    <t>Codex</t>
  </si>
  <si>
    <t>Owner decision in Codex session, 2026-08-11</t>
  </si>
  <si>
    <t>B05</t>
  </si>
  <si>
    <t>SPA/SSR/PWA, CSS strategy, E2E matrix</t>
  </si>
  <si>
    <t>B06</t>
  </si>
  <si>
    <t>Accessibility</t>
  </si>
  <si>
    <t>UI library, semantic markup, automated/manual accessibility tests</t>
  </si>
  <si>
    <t>Local volume/object storage, scanning, CDN, authorization</t>
  </si>
  <si>
    <t>B08</t>
  </si>
  <si>
    <t>Data retention</t>
  </si>
  <si>
    <t>Schema, jobs, archival storage, compliance</t>
  </si>
  <si>
    <t>A09</t>
  </si>
  <si>
    <t>B09</t>
  </si>
  <si>
    <t>Capacity forecast</t>
  </si>
  <si>
    <t>Scale thresholds, infrastructure roadmap, cost model</t>
  </si>
  <si>
    <t>B10</t>
  </si>
  <si>
    <t>Support model</t>
  </si>
  <si>
    <t>Monitoring, on-call, runbooks, SLO, staffing</t>
  </si>
  <si>
    <t>Integration adapters, queueing, user-facing error states</t>
  </si>
  <si>
    <t>B12</t>
  </si>
  <si>
    <t>Reporting workload</t>
  </si>
  <si>
    <t>Read models, background generation, caching, replicas</t>
  </si>
  <si>
    <t>B13</t>
  </si>
  <si>
    <t>Migration and cutover</t>
  </si>
  <si>
    <t>ETL tooling, staging, dual-run, backups, cutover plan</t>
  </si>
  <si>
    <t>Module boundaries, extension points, configuration model</t>
  </si>
  <si>
    <t>B15</t>
  </si>
  <si>
    <t>API</t>
  </si>
  <si>
    <t>API gateway, auth, contracts, versioning, throttling</t>
  </si>
  <si>
    <t>B16</t>
  </si>
  <si>
    <t>Managed services, abstraction boundaries, export formats</t>
  </si>
  <si>
    <t>Owner-approved target baseline</t>
  </si>
  <si>
    <t>Owner decision + Manager regrade 2026-08-11</t>
  </si>
  <si>
    <t>B17</t>
  </si>
  <si>
    <t>Design system, tokens, CSS architecture, asset management</t>
  </si>
  <si>
    <t>B18</t>
  </si>
  <si>
    <t>Topology, CI/CD, configuration, secrets, EF migrations, rollback, downtime and operational ownership</t>
  </si>
  <si>
    <t>Operational constraint</t>
  </si>
  <si>
    <t>Demo runbook, migration, smoke and rollback are executable; production unknowns are recorded as a separate gate.</t>
  </si>
  <si>
    <t>Production hosting choice, multiple hosts, managed platform, compliance region or zero-downtime requirement</t>
  </si>
  <si>
    <t>Owner decision 2026-08-10; separated by Manager review 2026-08-11</t>
  </si>
  <si>
    <t>analysis/stages/stage-11/owner-remarks-004.md; Manager notes supplied to Codex, 2026-08-11</t>
  </si>
  <si>
    <t>A19</t>
  </si>
  <si>
    <t>C01</t>
  </si>
  <si>
    <t>Multi-region</t>
  </si>
  <si>
    <t>Global routing, replication, data residency</t>
  </si>
  <si>
    <t>C02</t>
  </si>
  <si>
    <t>Kubernetes</t>
  </si>
  <si>
    <t>Orchestration, autoscaling, service discovery</t>
  </si>
  <si>
    <t>C03</t>
  </si>
  <si>
    <t>Message broker</t>
  </si>
  <si>
    <t>Async delivery, service split, event processing</t>
  </si>
  <si>
    <t>C04</t>
  </si>
  <si>
    <t>OIDC + PKCE, secure storage, API versioning, sync</t>
  </si>
  <si>
    <t>C05</t>
  </si>
  <si>
    <t>Advanced analytics</t>
  </si>
  <si>
    <t>ETL, CDC, warehouse, event platform</t>
  </si>
  <si>
    <t>C06</t>
  </si>
  <si>
    <t>CDN</t>
  </si>
  <si>
    <t>CDN, cache invalidation, object storage</t>
  </si>
  <si>
    <t>C07</t>
  </si>
  <si>
    <t>Zero-downtime deployment</t>
  </si>
  <si>
    <t>Hosting platform, DB compatibility, traffic switching</t>
  </si>
  <si>
    <t>C08</t>
  </si>
  <si>
    <t>Autoscaling</t>
  </si>
  <si>
    <t>Stateless services, orchestration, shared storage, telemetry</t>
  </si>
  <si>
    <t>C09</t>
  </si>
  <si>
    <t>Translation workflow, fonts, layout, QA matrix</t>
  </si>
  <si>
    <t>C10</t>
  </si>
  <si>
    <t>Service decomposition</t>
  </si>
  <si>
    <t>Service boundaries, broker, distributed transactions, observability</t>
  </si>
  <si>
    <t>C11</t>
  </si>
  <si>
    <t>Search engine, vector store, data governance, model API</t>
  </si>
  <si>
    <t>System Architecture Gate — what must be decided before the high-level diagram</t>
  </si>
  <si>
    <t>Total gates</t>
  </si>
  <si>
    <t>Ready</t>
  </si>
  <si>
    <t>Open</t>
  </si>
  <si>
    <t>Readiness</t>
  </si>
  <si>
    <t>Result</t>
  </si>
  <si>
    <t>Next step</t>
  </si>
  <si>
    <t>Source of truth</t>
  </si>
  <si>
    <t>Rule</t>
  </si>
  <si>
    <t>Complete architecture-shaping decisions</t>
  </si>
  <si>
    <t>NFR + Technology + Questionnaire</t>
  </si>
  <si>
    <t>High-level boundaries now; feature mechanics later</t>
  </si>
  <si>
    <t>Gate ID</t>
  </si>
  <si>
    <t>Diagram layer</t>
  </si>
  <si>
    <t>Required decision</t>
  </si>
  <si>
    <t>Governed source</t>
  </si>
  <si>
    <t>Current baseline</t>
  </si>
  <si>
    <t>Status</t>
  </si>
  <si>
    <t>Diagram use</t>
  </si>
  <si>
    <t>SG-01</t>
  </si>
  <si>
    <t>Scope</t>
  </si>
  <si>
    <t>System boundary and parity scope</t>
  </si>
  <si>
    <t>Record IDs</t>
  </si>
  <si>
    <t>To be decided</t>
  </si>
  <si>
    <t>Feature mechanics and exact contracts</t>
  </si>
  <si>
    <t>Required diagram layer/callout</t>
  </si>
  <si>
    <t>SG-02</t>
  </si>
  <si>
    <t>Application</t>
  </si>
  <si>
    <t>Runtime containers and application shape</t>
  </si>
  <si>
    <t>SG-03</t>
  </si>
  <si>
    <t>Tenancy</t>
  </si>
  <si>
    <t>Tenant and data-isolation boundary</t>
  </si>
  <si>
    <t>SG-04</t>
  </si>
  <si>
    <t>Security</t>
  </si>
  <si>
    <t>Identity, trust boundary and high-level roles</t>
  </si>
  <si>
    <t>SG-05</t>
  </si>
  <si>
    <t>Scale</t>
  </si>
  <si>
    <t>State ownership and horizontal-scale path</t>
  </si>
  <si>
    <t>SG-06</t>
  </si>
  <si>
    <t>Data</t>
  </si>
  <si>
    <t>Transactional boundary and reliable side effects</t>
  </si>
  <si>
    <t>SG-07</t>
  </si>
  <si>
    <t>Integrations</t>
  </si>
  <si>
    <t>External systems and protocol families</t>
  </si>
  <si>
    <t>SG-08</t>
  </si>
  <si>
    <t>Background</t>
  </si>
  <si>
    <t>Scheduler/worker topology</t>
  </si>
  <si>
    <t>SG-09</t>
  </si>
  <si>
    <t>Files</t>
  </si>
  <si>
    <t>High-level file/object storage boundary</t>
  </si>
  <si>
    <t>SG-10</t>
  </si>
  <si>
    <t>Platform</t>
  </si>
  <si>
    <t>Ingress and deployment topology</t>
  </si>
  <si>
    <t>SG-11</t>
  </si>
  <si>
    <t>NFR</t>
  </si>
  <si>
    <t>Capacity, latency, availability and recovery drivers</t>
  </si>
  <si>
    <t>SG-12</t>
  </si>
  <si>
    <t>Technology</t>
  </si>
  <si>
    <t>Material technology baseline</t>
  </si>
  <si>
    <t>Feature area</t>
  </si>
  <si>
    <t>Deferred detail</t>
  </si>
  <si>
    <t>Closure stage</t>
  </si>
  <si>
    <t>Why it is not diagram-shaping</t>
  </si>
  <si>
    <t>Authentication</t>
  </si>
  <si>
    <t>Claims, MFA, lifecycle and provider configuration</t>
  </si>
  <si>
    <t>Trust boundary already decided</t>
  </si>
  <si>
    <t>Limits, malware, retention, migration and API/UI states</t>
  </si>
  <si>
    <t>Storage boundary is sufficient</t>
  </si>
  <si>
    <t>Consumers, schemas, auth, SLA and mappings</t>
  </si>
  <si>
    <t>Adapter boundary is sufficient</t>
  </si>
  <si>
    <t>Jobs</t>
  </si>
  <si>
    <t>Schedules, retries, misfire, replay and runbooks</t>
  </si>
  <si>
    <t>Worker topology is sufficient</t>
  </si>
  <si>
    <t>Provisioning, review, rotation, response and retention</t>
  </si>
  <si>
    <t>Operating detail</t>
  </si>
  <si>
    <t>Backup</t>
  </si>
  <si>
    <t>Product, cadence and restore commands</t>
  </si>
  <si>
    <t>RPO/RTO are the driver</t>
  </si>
  <si>
    <t>Localization</t>
  </si>
  <si>
    <t>Catalogs, errors, formats and QA matrix</t>
  </si>
  <si>
    <t>NFR, not a container</t>
  </si>
  <si>
    <t>Team Capability and Delivery Readiness</t>
  </si>
  <si>
    <t>Delivery readiness</t>
  </si>
  <si>
    <t>Capability domain</t>
  </si>
  <si>
    <t>Production evidence</t>
  </si>
  <si>
    <t>Bus factor</t>
  </si>
  <si>
    <t>Gap</t>
  </si>
  <si>
    <t>Capability owner</t>
  </si>
  <si>
    <t>CAP-001</t>
  </si>
  <si>
    <t>CAP-002</t>
  </si>
  <si>
    <t>Legacy engineering</t>
  </si>
  <si>
    <t>CAP-003</t>
  </si>
  <si>
    <t>Solution architecture</t>
  </si>
  <si>
    <t>CAP-004</t>
  </si>
  <si>
    <t>Backend engineering</t>
  </si>
  <si>
    <t>CAP-005</t>
  </si>
  <si>
    <t>Data engineering</t>
  </si>
  <si>
    <t>CAP-006</t>
  </si>
  <si>
    <t>Frontend engineering</t>
  </si>
  <si>
    <t>CAP-007</t>
  </si>
  <si>
    <t>CAP-008</t>
  </si>
  <si>
    <t>CAP-009</t>
  </si>
  <si>
    <t>CAP-010</t>
  </si>
  <si>
    <t>CAP-011</t>
  </si>
  <si>
    <t>CAP-012</t>
  </si>
  <si>
    <t>CAP-013</t>
  </si>
  <si>
    <t>Technology Stack Decision Register</t>
  </si>
  <si>
    <t>ADR / architecture reference</t>
  </si>
  <si>
    <t>Legacy Integration Contracts — client confirmation register</t>
  </si>
  <si>
    <t>Code/config and live evidence establish what exists; client fields establish who uses it and what compatibility must be preserved.</t>
  </si>
  <si>
    <t>Contracts</t>
  </si>
  <si>
    <t>Client-confirmed</t>
  </si>
  <si>
    <t>Pending client</t>
  </si>
  <si>
    <t>Known internal</t>
  </si>
  <si>
    <t>Not used</t>
  </si>
  <si>
    <t>Contract ID</t>
  </si>
  <si>
    <t>Channel</t>
  </si>
  <si>
    <t>Direction</t>
  </si>
  <si>
    <t>Contract / format</t>
  </si>
  <si>
    <t>Code/config evidence</t>
  </si>
  <si>
    <t>Live result</t>
  </si>
  <si>
    <t>Internal consumer evidence</t>
  </si>
  <si>
    <t>Client/system</t>
  </si>
  <si>
    <t>Business owner</t>
  </si>
  <si>
    <t>Technical owner</t>
  </si>
  <si>
    <t>Version in use</t>
  </si>
  <si>
    <t>Volume / peak</t>
  </si>
  <si>
    <t>Criticality</t>
  </si>
  <si>
    <t>Compatibility / migration constraint</t>
  </si>
  <si>
    <t>Client evidence</t>
  </si>
  <si>
    <t>Confirmation status</t>
  </si>
  <si>
    <t>Client Questionnaire — residual production and business facts</t>
  </si>
  <si>
    <t>Generate one row per client-dependent LD-NNN only after code/config and the relevant live check are exhausted.</t>
  </si>
  <si>
    <t>SOURCE OF TRUTH: canonical client answer + respondent/authority + date + durable evidence + status. Synchronize the answer back to Legacy Discovery, then record its NFR / ADR / migration / security / scope impact. Chat alone is not evidence.</t>
  </si>
  <si>
    <t>Total</t>
  </si>
  <si>
    <t>Answered</t>
  </si>
  <si>
    <t>Owner-deferred</t>
  </si>
  <si>
    <t>Next question</t>
  </si>
  <si>
    <t>No open question</t>
  </si>
  <si>
    <t>Stable ID</t>
  </si>
  <si>
    <t>Topic</t>
  </si>
  <si>
    <t>What is already proved</t>
  </si>
  <si>
    <t>Exact client question</t>
  </si>
  <si>
    <t>Why the answer matters</t>
  </si>
  <si>
    <t>Conservative fallback</t>
  </si>
  <si>
    <t>Client answer</t>
  </si>
  <si>
    <t>Respondent / authority</t>
  </si>
  <si>
    <t>Answer date</t>
  </si>
  <si>
    <t>Evidence / link</t>
  </si>
  <si>
    <t>Impact / disposition</t>
  </si>
  <si>
    <t>LD ID</t>
  </si>
  <si>
    <t>Code + live evidence</t>
  </si>
  <si>
    <t>Residual client question</t>
  </si>
  <si>
    <t>Architecture impact</t>
  </si>
  <si>
    <t>Proposed safe fallback</t>
  </si>
  <si>
    <t>Canonical client answer</t>
  </si>
  <si>
    <t>Durable evidence</t>
  </si>
  <si>
    <t>NFR / ADR / scope impact</t>
  </si>
  <si>
    <t>Open / Answered / Deferred / N/A</t>
  </si>
  <si>
    <t>Owner</t>
  </si>
  <si>
    <t>External Architect</t>
  </si>
  <si>
    <t>External architecture input</t>
  </si>
  <si>
    <t>Security / compliance requirement</t>
  </si>
  <si>
    <t>Technical Lead</t>
  </si>
  <si>
    <t>TBD</t>
  </si>
  <si>
    <t>Gemini</t>
  </si>
  <si>
    <t>Evidence-based inference</t>
  </si>
  <si>
    <t>External reviewer</t>
  </si>
  <si>
    <t>Temporary assumption</t>
  </si>
  <si>
    <t>Legacy evidence import</t>
  </si>
  <si>
    <t>Technology / platform constraint</t>
  </si>
  <si>
    <t>Owner / Codex</t>
  </si>
  <si>
    <t>Deferred with trigger</t>
  </si>
  <si>
    <t>Solution Architect / Codex</t>
  </si>
  <si>
    <t>Managed service</t>
  </si>
  <si>
    <t>1</t>
  </si>
  <si>
    <t>2</t>
  </si>
  <si>
    <t>Legacy Discovery</t>
  </si>
  <si>
    <t>3</t>
  </si>
  <si>
    <t>NFR Register</t>
  </si>
  <si>
    <t>4</t>
  </si>
  <si>
    <t>System Diagram Gate</t>
  </si>
  <si>
    <t>5</t>
  </si>
  <si>
    <t>Team Capability</t>
  </si>
  <si>
    <t>6</t>
  </si>
  <si>
    <t>Technology Stack</t>
  </si>
  <si>
    <t>7</t>
  </si>
  <si>
    <t>Integration Contracts</t>
  </si>
  <si>
    <t>8</t>
  </si>
  <si>
    <t>Client Questionnaire</t>
  </si>
  <si>
    <t>9</t>
  </si>
  <si>
    <t>STAGE 9 CURRENT: Grade A decisions are governed in this register. Architecture is revisited after every implemented slice; feature detail stays in downstream delivery specification until code and tests provide evidence.</t>
  </si>
  <si>
    <t>Deployment &amp; Operations</t>
  </si>
  <si>
    <t>first operational slice that measures or changes this criterion</t>
  </si>
  <si>
    <t>Foundation</t>
  </si>
  <si>
    <t>001-solution-foundation</t>
  </si>
  <si>
    <t>002-demo-deployment-baseline</t>
  </si>
  <si>
    <t>Identity &amp; Access</t>
  </si>
  <si>
    <t>003-identity-and-access</t>
  </si>
  <si>
    <t>Integrations &amp; Background Work</t>
  </si>
  <si>
    <t>first integration/background-work slice</t>
  </si>
  <si>
    <t>Feature-specific</t>
  </si>
  <si>
    <t>first feature downstream delivery specification that implements this criterion</t>
  </si>
  <si>
    <t>Data &amp; Persistence</t>
  </si>
  <si>
    <t>first data/files feature slice</t>
  </si>
  <si>
    <t>UI, Localization &amp; Quality</t>
  </si>
  <si>
    <t>first localized UI/API feature slice</t>
  </si>
  <si>
    <t>DERIVED VIEW: populate from NFR Register, Technology Stack and Client Questionnaire. Feature mechanics belong in the downstream delivery specification backlog and must not block a system-level diagram.</t>
  </si>
  <si>
    <t>Deferred to downstream delivery specification</t>
  </si>
  <si>
    <t>Downstream delivery / feature detail backlog — does not block the system diagram</t>
  </si>
  <si>
    <t>Feature downstream delivery specification</t>
  </si>
  <si>
    <t>Integration downstream delivery specification</t>
  </si>
  <si>
    <t>Security downstream delivery specification</t>
  </si>
  <si>
    <t>Operations downstream delivery specification</t>
  </si>
  <si>
    <t>Architectural NFR and Decision Register</t>
  </si>
  <si>
    <t>A single owner-editable source of architectural factors, decisions, provenance and selected stack</t>
  </si>
  <si>
    <t>Architecture Decision Readiness</t>
  </si>
  <si>
    <t>Grade</t>
  </si>
  <si>
    <t>Approved</t>
  </si>
  <si>
    <t>Deferred</t>
  </si>
  <si>
    <t>In progress</t>
  </si>
  <si>
    <t>Resolved for Stage 9</t>
  </si>
  <si>
    <t>How does the result count?</t>
  </si>
  <si>
    <t>The current focus</t>
  </si>
  <si>
    <t>Solved for Stage 9 = approved + owner-approved deferral with recorded trigger.</t>
  </si>
  <si>
    <t>Start with the first line open by Grade A and go through it with the owner.</t>
  </si>
  <si>
    <t>Grade A blocks the next step until all strings are solved and evidence is fixed.</t>
  </si>
  <si>
    <t>The Grade B and C remain visible production-readiness backlogs.</t>
  </si>
  <si>
    <t>Workbook Navigator</t>
  </si>
  <si>
    <t>Priority</t>
  </si>
  <si>
    <t>Worksheet</t>
  </si>
  <si>
    <t>What is inside and when to use it</t>
  </si>
  <si>
    <t>Overview</t>
  </si>
  <si>
    <t>The main summary: readiness of decisions on grades, current gate, progress of the questionnaire and navigation on the book.</t>
  </si>
  <si>
    <t>Facts about the old system from code, configuration, live walkthrough and interviews; this is evidence, not target decision.</t>
  </si>
  <si>
    <t>The main owner-editable registry of NFR and architecture decisions: grade, decision, responsible, status, evidence and the topic of the future slice.</t>
  </si>
  <si>
    <t>The minimum set of closed questions, without which it is impossible to approve a high-level system diagram.</t>
  </si>
  <si>
    <t>Competences and capacity of the team, confirmed gaps and a plan to close them before implementing the affected slice.</t>
  </si>
  <si>
    <t>Selected, Deferred and Rejected Technologies with Reasoning, Solution Owner, and Communication with NFR/ADR.</t>
  </si>
  <si>
    <t>Known incoming and outgoing integration contracts, protocols, consumers and open issues.</t>
  </si>
  <si>
    <t>Questions that cannot be reliably deduced from legacy evidence and must be confirmed by the client.</t>
  </si>
  <si>
    <t>Reference Data</t>
  </si>
  <si>
    <t>Controlled values and filling rules: grades, statuses, roles, provenance and line closure criteria.</t>
  </si>
  <si>
    <t>We record the architecturally significant facts of the old system before the NFR and the selection of target decision. The list does not contain target design.</t>
  </si>
  <si>
    <t>Evidence priority: legacy code/config → live walkthrough → client interview. Live verification can only be skipped with a recorded owner decision; a pass is not considered verified live.</t>
  </si>
  <si>
    <t>Total discovery items</t>
  </si>
  <si>
    <t>Code review required</t>
  </si>
  <si>
    <t>Live walkthrough required</t>
  </si>
  <si>
    <t>Client interview required</t>
  </si>
  <si>
    <t>Completed</t>
  </si>
  <si>
    <t>live walkthrough</t>
  </si>
  <si>
    <t>Only Skipped by Owner with a reason</t>
  </si>
  <si>
    <t>What to prove before a target decision</t>
  </si>
  <si>
    <t>Why it affects architecture</t>
  </si>
  <si>
    <t>Mandatory / conditional / client</t>
  </si>
  <si>
    <t>We need code analysis.</t>
  </si>
  <si>
    <t>We need live walkthrough.</t>
  </si>
  <si>
    <t>client interview.</t>
  </si>
  <si>
    <t>Code and Configuration Facts</t>
  </si>
  <si>
    <t>Live Confirmation</t>
  </si>
  <si>
    <t>Client Input</t>
  </si>
  <si>
    <t>Consolidated Legacy Behavior</t>
  </si>
  <si>
    <t>Remaining Unknowns</t>
  </si>
  <si>
    <t>Discovery Status</t>
  </si>
  <si>
    <t>Files, Lines, URLs, Reports</t>
  </si>
  <si>
    <t>Linked Future NFR</t>
  </si>
  <si>
    <t>Discovery Owner</t>
  </si>
  <si>
    <t>Independent Reviewer</t>
  </si>
  <si>
    <t>Limitations and explanations</t>
  </si>
  <si>
    <t>What to explore</t>
  </si>
  <si>
    <t>Why is it relevant?</t>
  </si>
  <si>
    <t>Data and transactions</t>
  </si>
  <si>
    <t>Find transaction boundaries, consistency model, lock, commit/rollback and related side effects.</t>
  </si>
  <si>
    <t>Defines targeted transactions, outbox and eventual consistency.</t>
  </si>
  <si>
    <t>Required</t>
  </si>
  <si>
    <t>Recommended</t>
  </si>
  <si>
    <t>Unexamined.</t>
  </si>
  <si>
    <t>Not started.</t>
  </si>
  <si>
    <t>The target decision is accepted in the NFR Register.</t>
  </si>
  <si>
    <t>Session State and Scaling</t>
  </si>
  <si>
    <t>Where the session state is stored, sticky is the session, which prevents multiple instances of the application.</t>
  </si>
  <si>
    <t>Determines the stateless model and the possibility of horizontal scaling.</t>
  </si>
  <si>
    <t>What login mechanisms, credential stores, session/cookie rules, LDAP/NTLM and logout/timeout exist?</t>
  </si>
  <si>
    <t>You need to keep working login methods and security semantics.</t>
  </si>
  <si>
    <t>Authorization and roles</t>
  </si>
  <si>
    <t>Gather roles, permissions, inheritance, backend/UI checks and the real limitations of each role.</t>
  </si>
  <si>
    <t>Is evidence for exact parity roles and policy authorization.</t>
  </si>
  <si>
    <t>Role research is separate from the target authorization decision.</t>
  </si>
  <si>
    <t>Product model and tenants</t>
  </si>
  <si>
    <t>Are there tenants/organizations, how data is isolated and whether a user can relate to multiple tenants?</t>
  </si>
  <si>
    <t>It defines the multi-tenancy model and data boundaries.</t>
  </si>
  <si>
    <t>Sensitive data and security controls</t>
  </si>
  <si>
    <t>Identify sensitive data, encryption, auditing, secrets, and existing security mechanisms that are reasonably provable.</t>
  </si>
  <si>
    <t>Helps not to lose mandatory security controls; compliance is confirmed by the client.</t>
  </si>
  <si>
    <t>Conditional</t>
  </si>
  <si>
    <t>Part of the requirements may be known only to the client/security owner</t>
  </si>
  <si>
    <t>Do not infer compliance only from the code.</t>
  </si>
  <si>
    <t>External integration</t>
  </si>
  <si>
    <t>Make a complete catalog of inbound/outbound integrations: HTTP, SOAP, sockets, MQ, files, email, DB and formats.</t>
  </si>
  <si>
    <t>Defines target integration contracts and backward compatibility.</t>
  </si>
  <si>
    <t>The presence of the code does not prove actual use.</t>
  </si>
  <si>
    <t>Consumers of Integration</t>
  </si>
  <si>
    <t>Find out what systems and customers are truly integrated, who the owner is, and what contracts cannot be broken.</t>
  </si>
  <si>
    <t>Separate the available opportunity from the production contract used.</t>
  </si>
  <si>
    <t>Client-dependent</t>
  </si>
  <si>
    <t>client interview required</t>
  </si>
  <si>
    <t>Required client checkpoint for integrations.</t>
  </si>
  <si>
    <t>Jobs, workers and schedulers</t>
  </si>
  <si>
    <t>Find a complete list of scheduled jobs, workers, batch, retries, queues and dormant/background operations.</t>
  </si>
  <si>
    <t>First inventory, then a separate target solution for the scheduler/worker mechanism.</t>
  </si>
  <si>
    <t>A16 is not closed without a complete inventory.</t>
  </si>
  <si>
    <t>Operation and observability</t>
  </si>
  <si>
    <t>Find logs, metrics, health checks, audit trail, operational endpoints, and real-world diagnostic procedures.</t>
  </si>
  <si>
    <t>Determine which operational capabilities to maintain or replace.</t>
  </si>
  <si>
    <t>Find security audit, lockout, credential rotation, privileged operations, and incident-relevant evidence.</t>
  </si>
  <si>
    <t>Defines operational security controls of the new system.</t>
  </si>
  <si>
    <t>Backup and restore</t>
  </si>
  <si>
    <t>Determine what is copied and how it is restored and verified.</t>
  </si>
  <si>
    <t>The Backup/restore is a mechanism; the targeted RPO/RTO remains a separate business decision.</t>
  </si>
  <si>
    <t>Infrastructure details may not be available in the repository</t>
  </si>
  <si>
    <t>Do not mix backup with approved RPO/RTO.</t>
  </si>
  <si>
    <t>File management</t>
  </si>
  <si>
    <t>Find upload/download/storage, metadata, rights, sizes, lifecycle and external file storage.</t>
  </si>
  <si>
    <t>Defines target storage adapter, security and migration.</t>
  </si>
  <si>
    <t>Refusal of external providers</t>
  </si>
  <si>
    <t>Find timeout, retry, idempotency, fallback, dead-letter/replay and UI behavior when integrations fail.</t>
  </si>
  <si>
    <t>Determines the reliability of target adapters and user behavior in case of failure.</t>
  </si>
  <si>
    <t>Customization and expansion</t>
  </si>
  <si>
    <t>Find plugins, overrides, tenant/client customization, white-label hooks and actually used variants.</t>
  </si>
  <si>
    <t>Extension points and allowable target scope.</t>
  </si>
  <si>
    <t>Distinguish between frameworks and client customizations</t>
  </si>
  <si>
    <t>Find languages, resource bundles, fallback, localized labels, directories, and UI formats.</t>
  </si>
  <si>
    <t>Defines frontend localization contract without reference to a specific UI framework.</t>
  </si>
  <si>
    <t>Target stack is not yet selected on this page.</t>
  </si>
  <si>
    <t>Backend Localization and Errors</t>
  </si>
  <si>
    <t>Determine whether backend returns ready-made texts, error codes, localized directories, or stable keys.</t>
  </si>
  <si>
    <t>Defines the boundary between error translation and reference data between backend and UI.</t>
  </si>
  <si>
    <t>Date, time and timezone</t>
  </si>
  <si>
    <t>Find storage/API/UI formats, timezone semantics, UTC/local dates, and DST behavior.</t>
  </si>
  <si>
    <t>It defines the temporal contract of a new system and eliminates ambiguous transformations.</t>
  </si>
  <si>
    <t>Line localization and temporal contract are checked separately.</t>
  </si>
  <si>
    <t>Messaging, queues and broker</t>
  </si>
  <si>
    <t>Find MQ/JMS/DB queues, producers/consumers, delivery guarantees, ordering, retry and replay.</t>
  </si>
  <si>
    <t>Separates message transport from jobs/workers and determines whether a target broker is needed.</t>
  </si>
  <si>
    <t>Job launches the work; broker sends the messages — these are different studies.</t>
  </si>
  <si>
    <t>NFR and architecture decisions</t>
  </si>
  <si>
    <t>The filled fields are highlighted in light yellow. The agent proposes and indicates the source; the decision takes one responsible role, the mandatory participants consult, and the person-approver is recorded separately.</t>
  </si>
  <si>
    <t>gate</t>
  </si>
  <si>
    <t>Grade A is open without owner decision Stage 9</t>
  </si>
  <si>
    <t>Grade B: Controlled assumption allowed</t>
  </si>
  <si>
    <t>Grade C: trigger only, without premature implementation</t>
  </si>
  <si>
    <t>Category</t>
  </si>
  <si>
    <t>Criterion</t>
  </si>
  <si>
    <t>Question / Decision Needed</t>
  </si>
  <si>
    <t>Impact</t>
  </si>
  <si>
    <t>Measurable Target / Decision</t>
  </si>
  <si>
    <t>Decision Basis</t>
  </si>
  <si>
    <t>Decision Rationale</t>
  </si>
  <si>
    <t>Decision Owner</t>
  </si>
  <si>
    <t>Required Participants</t>
  </si>
  <si>
    <t>Approved By</t>
  </si>
  <si>
    <t>Approval Date</t>
  </si>
  <si>
    <t>Assumption Valid Until</t>
  </si>
  <si>
    <t>Evidence / Supporting Facts</t>
  </si>
  <si>
    <t>Closure Condition</t>
  </si>
  <si>
    <t>Re-review Trigger</t>
  </si>
  <si>
    <t>Criterion Source</t>
  </si>
  <si>
    <t>Proposed by</t>
  </si>
  <si>
    <t>Proposal / Review Reference</t>
  </si>
  <si>
    <t>Closed</t>
  </si>
  <si>
    <t>Architecture Area</t>
  </si>
  <si>
    <t>First Dependent Slice</t>
  </si>
  <si>
    <t>Where to refine and verify again</t>
  </si>
  <si>
    <t>The load</t>
  </si>
  <si>
    <t>Users and loads</t>
  </si>
  <si>
    <t>How many active users are expected now, at the peak and in 1-3 years? What are normal and peak RPS?</t>
  </si>
  <si>
    <t>Sizing, scaling model, caching, connection pools, choice of infrastructure</t>
  </si>
  <si>
    <t>Customer / Product Owner</t>
  </si>
  <si>
    <t>Unknown</t>
  </si>
  <si>
    <t>Approved numbers or explicitly recorded owner-approval</t>
  </si>
  <si>
    <t>Change of forecast to more than agreed threshold</t>
  </si>
  <si>
    <t>Both CSVs</t>
  </si>
  <si>
    <t>Imported; agent not recorded</t>
  </si>
  <si>
    <t>Checked as working slices and measurements appear; topology, SLO, or scale changes update NFR/ADR.</t>
  </si>
  <si>
    <t>Performance</t>
  </si>
  <si>
    <t>Which p95/p99 is permissible for reading, writing, searching, reporting, exporting and mass transactions?</t>
  </si>
  <si>
    <t>APIs, queries, indexes, cache, background operations, CDNs</t>
  </si>
  <si>
    <t>There are measurable thresholds and load test scenarios</t>
  </si>
  <si>
    <t>Violation of the SLO or the emergence of a new heavy script</t>
  </si>
  <si>
    <t>Reliability</t>
  </si>
  <si>
    <t>Availability (SLA/SLO)</t>
  </si>
  <si>
    <t>What uptime is required? Are scheduled service windows acceptable and how long?</t>
  </si>
  <si>
    <t>One server or cluster, balancer, rolling/blue-green deployment, cost</t>
  </si>
  <si>
    <t>Approved by SLA/SLO or expressly limited demo-SLA</t>
  </si>
  <si>
    <t>Change to SLA/SLO</t>
  </si>
  <si>
    <t>RPO and RTO</t>
  </si>
  <si>
    <t>How much data is allowed to be lost and how long should the system recover from a failure?</t>
  </si>
  <si>
    <t>Approved by RPO/RTO and method for verifying recovery</t>
  </si>
  <si>
    <t>Changes in data criticality or SLA</t>
  </si>
  <si>
    <t>Both CSVs; Grade upgraded to A</t>
  </si>
  <si>
    <t>Transaction and coherence</t>
  </si>
  <si>
    <t>Which operations require strict ACID consistency, and where is eventual consistency allowed?</t>
  </si>
  <si>
    <t>Transaction boundaries, outbox, CQRS, queues, error and repeat model</t>
  </si>
  <si>
    <t>Critical transactions are classified according to the consistency model</t>
  </si>
  <si>
    <t>New integration or distributed transaction</t>
  </si>
  <si>
    <t>CSV Claude + Detailing</t>
  </si>
  <si>
    <t>Grade A captures the system solution. After each implementation, the architecture is checked again; change runtime, data, transactions, tenancy or deployment updates NFR/ADR.</t>
  </si>
  <si>
    <t>Infrastructure</t>
  </si>
  <si>
    <t>Location and geography</t>
  </si>
  <si>
    <t>Where do demo and production work: on-premise, cloud or hybrid? In which regions can data be stored and processed?</t>
  </si>
  <si>
    <t>Docker Compose, Kubernetes, App Service, network, latency, data residency</t>
  </si>
  <si>
    <t>Approved the first platform and geographical restrictions</t>
  </si>
  <si>
    <t>Change of site, region or model of support</t>
  </si>
  <si>
    <t>Limitations</t>
  </si>
  <si>
    <t>Budget, timing and TCO</t>
  </si>
  <si>
    <t>What is the development and operation budget for 3 years, deadline and allowable licensing costs?</t>
  </si>
  <si>
    <t>Managed services, licenses, level of automation, team size and scope</t>
  </si>
  <si>
    <t>Budget and time frames or owner-approval</t>
  </si>
  <si>
    <t>Change in budget, deadline or platform cost</t>
  </si>
  <si>
    <t>Architecture</t>
  </si>
  <si>
    <t>Session state and horizontal scaling</t>
  </si>
  <si>
    <t>Where is the user and server state stored? Are in-memory sessions and sticky sessions acceptable? Should the API node be replaced without losing user context?</t>
  </si>
  <si>
    <t>Cookie/session model, shared Data Protection keys, load balancing, fault tolerance and horizontal scale-out</t>
  </si>
  <si>
    <t>Under discussion</t>
  </si>
  <si>
    <t>The owner has approved the state model; cookie/session boundaries are described; the two-way test does not require sticky sessions.</t>
  </si>
  <si>
    <t>Server-side session, distributed cache or new availability target</t>
  </si>
  <si>
    <t>What login methods are needed for web, API and future mobile clients: cookies, OIDC, SSO, LDAP/AD, MFA?</t>
  </si>
  <si>
    <t>Approved method of entry for each type of client</t>
  </si>
  <si>
    <t>A new customer or identity provider</t>
  </si>
  <si>
    <t>Our CSV; Claude has combined</t>
  </si>
  <si>
    <t>It is specified in the feature/downstream delivery specification. The result is returned to the architecture and, if necessary, updates NFR/ADR..</t>
  </si>
  <si>
    <t>Authorization</t>
  </si>
  <si>
    <t>What exact set of legacy roles and permissions exist in the database, code, and live application? What are the specifications of target-only allowed by the owner?</t>
  </si>
  <si>
    <t>The role-permission matrix and source of each role are fixed; Draw.io shows roles and trust boundaries; allow/deny tests cover the matrix.</t>
  </si>
  <si>
    <t>New role, permission, tenant scope or change of legacy authorization behavior</t>
  </si>
  <si>
    <t>Product model</t>
  </si>
  <si>
    <t>The need for multi-tenancy</t>
  </si>
  <si>
    <t>Does the system serve one organization or several isolated customers? What level of isolation is required?</t>
  </si>
  <si>
    <t>Tenant model, schema strategy, authorization, billing, deployment</t>
  </si>
  <si>
    <t>Early yes/no decision and isolation level determined for yes</t>
  </si>
  <si>
    <t>Appearance of a SaaS model or new customer</t>
  </si>
  <si>
    <t>Both CSVs; Early Decision A</t>
  </si>
  <si>
    <t>Data sensitivity and compliance</t>
  </si>
  <si>
    <t>What PII, financial or other regulated data are stored? What standards, audit, encryption and masking are required?</t>
  </si>
  <si>
    <t>Encryption, secrets, audit, database access, observability, hosting</t>
  </si>
  <si>
    <t>Data classification and a set of mandatory protection measures</t>
  </si>
  <si>
    <t>New data type, country or regulatory requirement</t>
  </si>
  <si>
    <t>Integration</t>
  </si>
  <si>
    <t>Mandatory integration</t>
  </si>
  <si>
    <t>What systems do you need to interact with, what protocols, and what SLA/delivery guarantees?</t>
  </si>
  <si>
    <t>For each integration, a contract, SLA and delivery guarantee are defined.</t>
  </si>
  <si>
    <t>Adding or modifying an external system</t>
  </si>
  <si>
    <t>It is specified in the feature/downstream delivery specification. Real jobs, retries and contracts are verified after implementation and returned to the architecture.</t>
  </si>
  <si>
    <t>Background processes</t>
  </si>
  <si>
    <t>Inventory jobs, workers and background operations</t>
  </si>
  <si>
    <t>What scheduled jobs, workers, queue consumers and background operations are real and active? How can you give up scheduler/worker without losing behavior?</t>
  </si>
  <si>
    <t>Inventory lists every process, activity proof and target mechanism; no unexplained jobs/workers; owner has approved do-not-port/deferred elements.</t>
  </si>
  <si>
    <t>New background path found, delivery semantics changed or broker/service split appears</t>
  </si>
  <si>
    <t>Product</t>
  </si>
  <si>
    <t>Distribution and customer customization</t>
  </si>
  <si>
    <t>Do all customers get the same build and functionality? Do you need tenant entitlements, configuration-driven customization or feature flags? Are separate client builds acceptable?</t>
  </si>
  <si>
    <t>The Owner has chosen the distribution model; the tenant differences allowed, the feature-flag policy and the prohibition/rules of individual builds are defined.</t>
  </si>
  <si>
    <t>New client requires different scope, licensing/entitlement model or independent release cadence</t>
  </si>
  <si>
    <t>Migration</t>
  </si>
  <si>
    <t>The functional parity boundary</t>
  </si>
  <si>
    <t>What legacy behaviors should be preserved, which can be changed, postponed or excluded?</t>
  </si>
  <si>
    <t>Scope architecture, downstream delivery specification, cutover, parity testing</t>
  </si>
  <si>
    <t>Parity card approved; deviations have owner decision</t>
  </si>
  <si>
    <t>New Legacy Finding or Target-only Requirement</t>
  </si>
  <si>
    <t>Added for Legacy Upgrade</t>
  </si>
  <si>
    <t>Exact rules are closed in the current feature/downstream delivery specification; once implemented, the outputs are synchronized back into the architecture.</t>
  </si>
  <si>
    <t>Operation</t>
  </si>
  <si>
    <t>What logs, metrics, traces, correlation IDs, alerts and retention times are needed?</t>
  </si>
  <si>
    <t>Customer / Product Owner; Technical Lead</t>
  </si>
  <si>
    <t>Minimum production observability set determined</t>
  </si>
  <si>
    <t>Incident, new SLO or new component</t>
  </si>
  <si>
    <t>What should be password policy, lockout, session timeout, audit events and incident handling?</t>
  </si>
  <si>
    <t>Settings and security scenarios are verifiable</t>
  </si>
  <si>
    <t>Security incident or policy change</t>
  </si>
  <si>
    <t>Our CSV</t>
  </si>
  <si>
    <t>What is the schedule, retention, off-site copies and frequency of restore rehearsal?</t>
  </si>
  <si>
    <t>Successful documented verification of recovery</t>
  </si>
  <si>
    <t>Failure to restore test or change RPO/RTO</t>
  </si>
  <si>
    <t>Our CSV + RPO Claude</t>
  </si>
  <si>
    <t>Quality.</t>
  </si>
  <si>
    <t>What formatting, analyzers, coverage, architecture tests and skipped tests prohibitions are required?</t>
  </si>
  <si>
    <t>There is an executable CI gate with approved thresholds</t>
  </si>
  <si>
    <t>Change of quality policy or repeated defect</t>
  </si>
  <si>
    <t>Data volume and growth</t>
  </si>
  <si>
    <t>What is the initial volume of databases and files, annual growth, peak growth and planning horizon?</t>
  </si>
  <si>
    <t>SQL sizing, storage, partitioning, archiving, object storage</t>
  </si>
  <si>
    <t>There is a volume estimate and growth forecast</t>
  </si>
  <si>
    <t>Actual growth exceeds forecast</t>
  </si>
  <si>
    <t>Clients.</t>
  </si>
  <si>
    <t>Browsers and devices</t>
  </si>
  <si>
    <t>What browsers/versions, viewport, tablets, mobile and offline scripts are supported?</t>
  </si>
  <si>
    <t>Approved support matrix</t>
  </si>
  <si>
    <t>New client channel or termination of browser support</t>
  </si>
  <si>
    <t>Which WCAG level and which keyboard/screen-reader scripts are required?</t>
  </si>
  <si>
    <t>WCAG scope and test matrix approved</t>
  </si>
  <si>
    <t>New regulatory or corporate standard</t>
  </si>
  <si>
    <t>Both CSVs; Grade B by default</t>
  </si>
  <si>
    <t>What file types and sizes, antivirus, versioning, retention and access rights are needed?</t>
  </si>
  <si>
    <t>There is an approved file policy</t>
  </si>
  <si>
    <t>New file type/size or external storage</t>
  </si>
  <si>
    <t>Clarifies in the feature/downstream file delivery specification; actual storage, access and recovery after implementation return to the architecture.</t>
  </si>
  <si>
    <t>What are storage, archiving, legal holding, deletion and anonymization?</t>
  </si>
  <si>
    <t>Conservation rules approved</t>
  </si>
  <si>
    <t>Changing the law or business policy</t>
  </si>
  <si>
    <t>System lifetime</t>
  </si>
  <si>
    <t>How long is the system designed and what is the platform update cycle expected?</t>
  </si>
  <si>
    <t>LTS-versions, replacement of components, upgrade strategy and technical debt</t>
  </si>
  <si>
    <t>Operating horizon approved</t>
  </si>
  <si>
    <t>Extension of life or termination of component support</t>
  </si>
  <si>
    <t>Scaling</t>
  </si>
  <si>
    <t>How will users, RPS, databases and files grow on the 1-3 year horizon?</t>
  </si>
  <si>
    <t>There are forecasts and thresholds of architectural revision</t>
  </si>
  <si>
    <t>Reaching 70-80% of the agreed limit</t>
  </si>
  <si>
    <t>Who accompanies the system, at what hours, with what severity and reaction time?</t>
  </si>
  <si>
    <t>Operating model approved</t>
  </si>
  <si>
    <t>Change of team or support SLA</t>
  </si>
  <si>
    <t>What should be timeout, retry, circuit breaker, degradation and manual replay?</t>
  </si>
  <si>
    <t>Failure scenarios and recovery are verifiable</t>
  </si>
  <si>
    <t>New provider or incident</t>
  </si>
  <si>
    <t>What heavy reports, exports and mass operations are carried out and how often?</t>
  </si>
  <si>
    <t>There is a catalog of heavy operations and limits</t>
  </si>
  <si>
    <t>New report or exceeding limit</t>
  </si>
  <si>
    <t>What is the amount of legacy data, mapping, reconciliation, dual-run, transfer window and rollback?</t>
  </si>
  <si>
    <t>Approved and tested cutover plan</t>
  </si>
  <si>
    <t>Changing the transfer circuit, volume or window</t>
  </si>
  <si>
    <t>Extensibility</t>
  </si>
  <si>
    <t>Customizations, plugins and white-label</t>
  </si>
  <si>
    <t>Do you need customizations, plugins, behavior configuration or white-label?</t>
  </si>
  <si>
    <t>There is a decision on permissible mechanisms of expansion</t>
  </si>
  <si>
    <t>First request for customer customization</t>
  </si>
  <si>
    <t>Public APIs</t>
  </si>
  <si>
    <t>Do you need third-party APIs, versioning, rate limiting, webhooks, and developer documentation?</t>
  </si>
  <si>
    <t>There is a public API solution and its governance</t>
  </si>
  <si>
    <t>The emergence of an external consumer</t>
  </si>
  <si>
    <t>Vendor lock-in and portability</t>
  </si>
  <si>
    <t>To what extent is it permissible to link to the provider/license and what data/components should be portable?</t>
  </si>
  <si>
    <t>Acceptable level of lock-in</t>
  </si>
  <si>
    <t>Change of provider, price or license</t>
  </si>
  <si>
    <t>Languages, time and formats</t>
  </si>
  <si>
    <t>What languages, time zones, currencies and date/number formats are supported? What's the fallback?</t>
  </si>
  <si>
    <t>Angular i18n, API contracts, time storage, scheduler, QA matrix</t>
  </si>
  <si>
    <t>Locales and temporal model approved</t>
  </si>
  <si>
    <t>Addition of language, currency or region</t>
  </si>
  <si>
    <t>Clarifies in the delivery specification affecting feature/downstream; implemented formats, resources and UTC contracts are returned to the architecture.</t>
  </si>
  <si>
    <t>Design</t>
  </si>
  <si>
    <t>Branding and theme</t>
  </si>
  <si>
    <t>Do you need themes, white-label, client styles, and multiple brands?</t>
  </si>
  <si>
    <t>There is a decision on the boundary of UI customizability</t>
  </si>
  <si>
    <t>New brand or white-label client</t>
  </si>
  <si>
    <t>Delivery</t>
  </si>
  <si>
    <t>Deployment environments and release model</t>
  </si>
  <si>
    <t>What environments really exist, who manages them, how do deploy, migrate, rollback and smoke work? What production hosting/region/secrets has not yet been decided?</t>
  </si>
  <si>
    <t>Technology, Licenses and Platform Restrictions</t>
  </si>
  <si>
    <t>Which stack is mandatory or prohibited? What versions, providers and licenses are allowed?</t>
  </si>
  <si>
    <t>Selection of platforms, libraries, hosting and managed services</t>
  </si>
  <si>
    <t>Owner decision on stack and restrictions n</t>
  </si>
  <si>
    <t>EOL component, change of license or corporate standard</t>
  </si>
  <si>
    <t>Will work or rehabilitation be required in several regions?</t>
  </si>
  <si>
    <t>Measurable return trigger recorded</t>
  </si>
  <si>
    <t>Geography, SLA or DR require a second region</t>
  </si>
  <si>
    <t>Under what measurable conditions does a Docker Compose or one host cease to be sufficient?</t>
  </si>
  <si>
    <t>Not selected in advance; the implementation trigger is recorded</t>
  </si>
  <si>
    <t>replicas/services or operational load exceeds the threshold</t>
  </si>
  <si>
    <t>Our CSV; solution option</t>
  </si>
  <si>
    <t>Under what warranties, throughput or service separation will RabbitMQ/Kafka/another broker be required?</t>
  </si>
  <si>
    <t>SQL outbox/worker no longer meets measurable requirements</t>
  </si>
  <si>
    <t>Mobile application and offline</t>
  </si>
  <si>
    <t>Are native/mobile clients and offline scenarios planned?</t>
  </si>
  <si>
    <t>API does not block mobile; details delayed until confirmed</t>
  </si>
  <si>
    <t>Approval of the mobile scope</t>
  </si>
  <si>
    <t>Will you need BI, warehouse, CDC, streaming or historical analytics?</t>
  </si>
  <si>
    <t>Recorded trigger of a separate decision</t>
  </si>
  <si>
    <t>Appearance of Confirmed Analytical Workload</t>
  </si>
  <si>
    <t>Our CSV + Claude data</t>
  </si>
  <si>
    <t>Do I need a global delivery of statics and files?</t>
  </si>
  <si>
    <t>Not implemented without confirmed geography/load</t>
  </si>
  <si>
    <t>Latency or traffic from several regions exceeds the threshold</t>
  </si>
  <si>
    <t>When do you need blue-green, canary or rolling deployment?</t>
  </si>
  <si>
    <t>Recorded trigger implementation</t>
  </si>
  <si>
    <t>SLA bans current service window</t>
  </si>
  <si>
    <t>When will automatic horizontal scaling be required?</t>
  </si>
  <si>
    <t>Measurable trigger recorded</t>
  </si>
  <si>
    <t>Peak load or cost of manual scaling exceeds threshold</t>
  </si>
  <si>
    <t>Additional languages</t>
  </si>
  <si>
    <t>What locales are needed beyond the basic set?</t>
  </si>
  <si>
    <t>Adding the language to a new scope</t>
  </si>
  <si>
    <t>Owner approves new locale</t>
  </si>
  <si>
    <t>Under what measurable conditions should a monolith module become a separate service?</t>
  </si>
  <si>
    <t>Not met without measured need and ADR</t>
  </si>
  <si>
    <t>Independent scaling/deployment/team ownership confirmed</t>
  </si>
  <si>
    <t>AI and search</t>
  </si>
  <si>
    <t>Do you need full-text search, recommendations, assistants or vector search?</t>
  </si>
  <si>
    <t>Not designed without an approved use case</t>
  </si>
  <si>
    <t>Owner Approves a Specific Use Case</t>
  </si>
  <si>
    <t>First, we capture the actual competence and capacity of the company; then Technology Stack connects the selected technologies with the capability and the gap closing plan. The familiar stack is a risk and cost factor, not a substitute for NFR and owner decision.</t>
  </si>
  <si>
    <t>Order Stage 9: 1) current capability inventory → 2) NFR/constraints → 3) Technology Stack → 4) gap plan (training / hiring / partner / service managed) → 5) owner review.</t>
  </si>
  <si>
    <t>Total capacity.</t>
  </si>
  <si>
    <t>In fact valued</t>
  </si>
  <si>
    <t>Open gaps</t>
  </si>
  <si>
    <t>Ready for delivery</t>
  </si>
  <si>
    <t>Inventory before the stack</t>
  </si>
  <si>
    <t>Verified area of expertise</t>
  </si>
  <si>
    <t>People or team with this skill</t>
  </si>
  <si>
    <t>Real stack and practical experience</t>
  </si>
  <si>
    <t>Actual maturity now</t>
  </si>
  <si>
    <t>Confirmation of production experience</t>
  </si>
  <si>
    <t>Available time in full rate equivalent</t>
  </si>
  <si>
    <t>How many people have independent knowledge?</t>
  </si>
  <si>
    <t>What you need to know for the project</t>
  </si>
  <si>
    <t>What choice of architecture requires skill</t>
  </si>
  <si>
    <t>Minimum maturity for delivery</t>
  </si>
  <si>
    <t>The gap between current and required</t>
  </si>
  <si>
    <t>Training, hiring, partner or other plan</t>
  </si>
  <si>
    <t>Responsible for competence and plan</t>
  </si>
  <si>
    <t>When the gap should be closed</t>
  </si>
  <si>
    <t>Status of assessment and preparedness</t>
  </si>
  <si>
    <t>Facts, references and explanations of the assessment</t>
  </si>
  <si>
    <t>Related Solutions and TECH-ID</t>
  </si>
  <si>
    <t>Team / Available People</t>
  </si>
  <si>
    <t>Current Technologies and Experience</t>
  </si>
  <si>
    <t>Current Level</t>
  </si>
  <si>
    <t>Available Capacity, FTE</t>
  </si>
  <si>
    <t>Required Capability</t>
  </si>
  <si>
    <t>Selected Technology / Approach</t>
  </si>
  <si>
    <t>Required Level</t>
  </si>
  <si>
    <t>Gap Closure Plan</t>
  </si>
  <si>
    <t>Due Date</t>
  </si>
  <si>
    <t>Evidence / Notes</t>
  </si>
  <si>
    <t>Related Decision / TECH-ID</t>
  </si>
  <si>
    <t>Product and domain expertise</t>
  </si>
  <si>
    <t>Identity and application security</t>
  </si>
  <si>
    <t>Platform and deployment</t>
  </si>
  <si>
    <t>Integrations and background work</t>
  </si>
  <si>
    <t>Quality and test automation</t>
  </si>
  <si>
    <t>UX, accessibility and localization</t>
  </si>
  <si>
    <t>Operations and support</t>
  </si>
  <si>
    <t>The only source of choice of Stage 9 technologies. Each line separates evidence, architectural reference, sentence author, and final authority.</t>
  </si>
  <si>
    <t>All decisions</t>
  </si>
  <si>
    <t>Solved.</t>
  </si>
  <si>
    <t>Open Grade A decisions</t>
  </si>
  <si>
    <t>Architecture Decision</t>
  </si>
  <si>
    <t>Technology / Approach</t>
  </si>
  <si>
    <t>Version / Baseline</t>
  </si>
  <si>
    <t>Purpose and Boundaries</t>
  </si>
  <si>
    <t>Rationale</t>
  </si>
  <si>
    <t>Alternatives / Deferred</t>
  </si>
  <si>
    <t>Review Trigger</t>
  </si>
  <si>
    <t>Meaning</t>
  </si>
  <si>
    <t>Confirms</t>
  </si>
  <si>
    <t>Responsibilities</t>
  </si>
  <si>
    <t>Impact on Stage 9</t>
  </si>
  <si>
    <t>What It Records</t>
  </si>
  <si>
    <t>Mandatory architecture decision. Without the owner decision, evidence and record, the Stage 9 decision is not closed.</t>
  </si>
  <si>
    <t>Behavior confirmed by legacy code or live run; carry over by default unless the owner decides otherwise.</t>
  </si>
  <si>
    <t>Business boundaries, product requirements, acceptable compromises and final owner decisions.</t>
  </si>
  <si>
    <t>Agent draft</t>
  </si>
  <si>
    <t>Just a suggestion. It is not considered a decision and does not close the line.</t>
  </si>
  <si>
    <t>The idea or requirement is proposed by the product owner.</t>
  </si>
  <si>
    <t>Production-readiness decision. Does not block baseline if a controlled assumption, owner and trigger revision is recorded.</t>
  </si>
  <si>
    <t>A new feature or rule that is absent from the legacy and explicitly approved by the owner.</t>
  </si>
  <si>
    <t>Architectural form, technologies, component boundaries, NFR and trade-offs.</t>
  </si>
  <si>
    <t>No answer. Line open.</t>
  </si>
  <si>
    <t>Criteria or limitations are proposed by the manager.</t>
  </si>
  <si>
    <t>An optional future decision. Only a measurable trigger is currently recorded; premature implementation is prohibited.</t>
  </si>
  <si>
    <t>The measurable target or assumption is explicitly accepted by the owner as the current basis.</t>
  </si>
  <si>
    <t>Gives independent recommendation; does not become authority without explicit delegation.</t>
  </si>
  <si>
    <t>Options are being discussed, there is no final decision yet.</t>
  </si>
  <si>
    <t>Joint initial request of the owner and manager.</t>
  </si>
  <si>
    <t>Solution Architect requires ADR with alternatives and consequences.</t>
  </si>
  <si>
    <t>Security, privacy, regulatory and compliance acceptance.</t>
  </si>
  <si>
    <t>Assumption</t>
  </si>
  <si>
    <t>Temporary hypothesis. The line itself does not close; you need a term/trigger and subsequent statement or deferral.</t>
  </si>
  <si>
    <t>The proposal comes from a responsible architect.</t>
  </si>
  <si>
    <t>External recommendation should be accepted or rejected by an internal responsible role.</t>
  </si>
  <si>
    <t>Deployment, backup/restore, observability, runbook and operational limitations.</t>
  </si>
  <si>
    <t>Decision made. Approver, date, evidence and decision record/ADR. are also required for closing.</t>
  </si>
  <si>
    <t>A criterion or variant is suggested by a Codex agent; it is provenance, not authority.</t>
  </si>
  <si>
    <t>A mandatory security/compliance requirement with verifiable source or control.</t>
  </si>
  <si>
    <t>Realizability, engineering practices, code quality and technical support.</t>
  </si>
  <si>
    <t>owner-approved deferral with cause and trigger. It is considered solved for Stage 9, but the backlog remains visible.</t>
  </si>
  <si>
    <t>Criterion or option proposed by Claude agent; authority check is required.</t>
  </si>
  <si>
    <t>Limit deployment, support, cost or operation.</t>
  </si>
  <si>
    <t>Time stamp. Before closing the line should be replaced by a specific responsible role.</t>
  </si>
  <si>
    <t>Governed deferral</t>
  </si>
  <si>
    <t>Clearly not selected technology/alternative with trigger. Closes the Technology Stack line, but does not mean implementation.</t>
  </si>
  <si>
    <t>Criterion or option proposed by a Gemini agent; authority verification is required.</t>
  </si>
  <si>
    <t>Inference from source, runtime, or observation; evidence and limits of certainty are maintained.</t>
  </si>
  <si>
    <t>Blocked</t>
  </si>
  <si>
    <t>An external dependency is unresolved. No decision has been made, and Stage 9 cannot close when the row is Grade A.</t>
  </si>
  <si>
    <t>The proposal came from an independent external auditor.</t>
  </si>
  <si>
    <t>Time value with owner, expiration date and trigger; does not mask the unknown.</t>
  </si>
  <si>
    <t>Needs review</t>
  </si>
  <si>
    <t>The old decision became stale. The line is open again until a new review.</t>
  </si>
  <si>
    <t>The test is derived directly from legacy evidence.</t>
  </si>
  <si>
    <t>Limitation of version, platform, license, hosting or enterprise standard.</t>
  </si>
  <si>
    <t>Owner set the content, Codex structured it in the registry.</t>
  </si>
  <si>
    <t>A deliberate delay with cause, owner and measurable refund condition.</t>
  </si>
  <si>
    <t>The architect made the decision, Codex structured the recording.</t>
  </si>
  <si>
    <t>The source is known, but the specific author of the proposal is not identified.</t>
  </si>
  <si>
    <t>How to Read a Register Row</t>
  </si>
  <si>
    <t>Shows the origin of the idea. An agent, manager or reviewer does not have the right to make a decision just because he has offered it.</t>
  </si>
  <si>
    <t>Exactly one role is responsible for the content of the decision and eliminates the contradictions between the participants.</t>
  </si>
  <si>
    <t>Roles to be consulted. They provide facts and limitations, but do not replace the responsible and owner approval.</t>
  </si>
  <si>
    <t>Who approved + date</t>
  </si>
  <si>
    <t>A specific person or owner-role who confirmed the outcome. For a closed line, these fields cannot be empty.</t>
  </si>
  <si>
    <t>Evidence and ADR</t>
  </si>
  <si>
    <t>Evidence proves the facts; ADR explains the choice, alternatives, and consequences. One does not replace the other.</t>
  </si>
  <si>
    <t>When a Row Is Closed</t>
  </si>
  <si>
    <t>Status is not closure</t>
  </si>
  <si>
    <t>Status is the entered string state. Closing is the calculated result of executing all mandatory fields and gate rules.</t>
  </si>
  <si>
    <t>There is a measurable solution, responsible role, mandatory participants, approver, date, evidence and decision record/ADR.</t>
  </si>
  <si>
    <t>There is a clear owner-deferred decision, reason, owner, trigger return and evidence. It's not hidden 'after'.</t>
  </si>
  <si>
    <t>Proceeding to the Next Stage</t>
  </si>
  <si>
    <t>All Grade A lines are closed; Technology Stack does not contain open Grade A solutions; workbooks and architectural artifacts are synchronized and repinned.</t>
  </si>
  <si>
    <t>Team Capability – Controlled Values</t>
  </si>
  <si>
    <t>Level.</t>
  </si>
  <si>
    <t>Capacity status</t>
  </si>
  <si>
    <t>Assessment hasn't been done yet.</t>
  </si>
  <si>
    <t>Use current team</t>
  </si>
  <si>
    <t>Confirmed competence and capacity are sufficient.</t>
  </si>
  <si>
    <t>No confirmed assessment.</t>
  </si>
  <si>
    <t>No</t>
  </si>
  <si>
    <t>No proven competence.</t>
  </si>
  <si>
    <t>Training</t>
  </si>
  <si>
    <t>Close the gap with training date and owner.</t>
  </si>
  <si>
    <t>Assessed</t>
  </si>
  <si>
    <t>Current level and evidence recorded.</t>
  </si>
  <si>
    <t>Basic</t>
  </si>
  <si>
    <t>Knowledge of terms and work only with support.</t>
  </si>
  <si>
    <t>Hiring</t>
  </si>
  <si>
    <t>You need a new employee or role.</t>
  </si>
  <si>
    <t>Gap confirmed</t>
  </si>
  <si>
    <t>The gap with the required level is proven.</t>
  </si>
  <si>
    <t>Working</t>
  </si>
  <si>
    <t>Independent standard development or operation.</t>
  </si>
  <si>
    <t>Partner</t>
  </si>
  <si>
    <t>You need an external delivery/support partner.</t>
  </si>
  <si>
    <t>Plan agreed</t>
  </si>
  <si>
    <t>For each gap, an action, owner and deadline are assigned.</t>
  </si>
  <si>
    <t>Advanced</t>
  </si>
  <si>
    <t>Design, complex diagnosis and mentoring.</t>
  </si>
  <si>
    <t>Part of the responsibility is transferred to the managed service.</t>
  </si>
  <si>
    <t>Competence is available or gap is closed and confirmed.</t>
  </si>
  <si>
    <t>Expert</t>
  </si>
  <si>
    <t>Defines standards and is responsible for critical decisions.</t>
  </si>
  <si>
    <t>Reallocate</t>
  </si>
  <si>
    <t>Capacity is provided by changing the team allocation.</t>
  </si>
  <si>
    <t>Capability is not required in the current scope; the trigger return is recorded.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</si>
</sst>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7">
    <font>
      <sz val="11"/>
      <name val="Carlito"/>
    </font>
    <font>
      <b/>
      <sz val="11"/>
      <color rgb="FFFFFFFF"/>
      <name val="Carlito"/>
    </font>
    <font>
      <sz val="11"/>
      <color rgb="FF17324D"/>
      <name val="Carlito"/>
    </font>
    <font>
      <b/>
      <sz val="11"/>
      <color rgb="FF17324D"/>
      <name val="Carlito"/>
    </font>
    <font>
      <b/>
      <sz val="11"/>
      <color rgb="FF215E21"/>
      <name val="Carlito"/>
    </font>
    <font>
      <i/>
      <sz val="11"/>
      <color rgb="FF7A4E00"/>
      <name val="Carlito"/>
    </font>
    <font>
      <b/>
      <sz val="11"/>
      <color rgb="FF9C3B18"/>
      <name val="Carlito"/>
    </font>
    <font>
      <b/>
      <sz val="11"/>
      <color rgb="FF35566D"/>
      <name val="Carlito"/>
    </font>
    <font>
      <i/>
      <sz val="11"/>
      <color rgb="FF35566D"/>
      <name val="Carlito"/>
    </font>
    <font>
      <sz val="11"/>
      <color rgb="FF35566D"/>
      <name val="Carlito"/>
    </font>
    <font>
      <b/>
      <sz val="11"/>
      <color rgb="FF7A4E00"/>
      <name val="Carlito"/>
    </font>
    <font>
      <i/>
      <sz val="8"/>
      <color rgb="FF7F6000"/>
      <name val="Carlito"/>
    </font>
    <font>
      <b/>
      <sz val="16"/>
      <color rgb="FFFFFFFF"/>
      <name val="Carlito"/>
    </font>
    <font>
      <i/>
      <sz val="10"/>
      <color rgb="FF7F6000"/>
      <name val="Carlito"/>
    </font>
    <font>
      <b/>
      <sz val="9"/>
      <color rgb="FF1F4E78"/>
      <name val="Carlito"/>
    </font>
    <font>
      <b/>
      <sz val="9"/>
      <color rgb="FFFFFFFF"/>
      <name val="Carlito"/>
    </font>
    <font>
      <b/>
      <sz val="11"/>
      <color rgb="FF17365D"/>
      <name val="Carlito"/>
    </font>
    <font>
      <sz val="9"/>
      <color rgb="FF24435B"/>
      <name val="Carlito"/>
    </font>
    <font>
      <i/>
      <sz val="11"/>
      <color rgb="FF7F6000"/>
      <name val="Carlito"/>
    </font>
    <font>
      <b/>
      <sz val="11"/>
      <color rgb="FF1F4E78"/>
      <name val="Carlito"/>
    </font>
    <font>
      <b/>
      <sz val="13"/>
      <color rgb="FFFFFFFF"/>
      <name val="Carlito"/>
    </font>
    <font>
      <b/>
      <sz val="10"/>
      <color rgb="FF233A4D"/>
      <name val="Carlito"/>
    </font>
    <font>
      <sz val="10"/>
      <color rgb="FF233A4D"/>
      <name val="Carlito"/>
    </font>
    <font>
      <i/>
      <sz val="10"/>
      <color rgb="FF233A4D"/>
      <name val="Carlito"/>
    </font>
    <font>
      <b/>
      <sz val="15"/>
      <color rgb="FFFFFFFF"/>
      <name val="Carlito"/>
    </font>
    <font>
      <i/>
      <sz val="11"/>
      <color rgb="FF365F7D"/>
      <name val="Carlito"/>
    </font>
    <font>
      <b/>
      <sz val="11"/>
      <color rgb="FF16324F"/>
      <name val="Carlito"/>
    </font>
  </fonts>
  <fills count="42">
    <fill>
      <patternFill patternType="none"/>
    </fill>
    <fill>
      <patternFill patternType="gray125"/>
    </fill>
    <fill>
      <patternFill patternType="solid">
        <fgColor rgb="FF173B57"/>
      </patternFill>
    </fill>
    <fill>
      <patternFill patternType="solid">
        <fgColor rgb="FFFFFFFF"/>
      </patternFill>
    </fill>
    <fill>
      <patternFill patternType="solid">
        <fgColor rgb="FFF8FBFC"/>
      </patternFill>
    </fill>
    <fill>
      <patternFill patternType="solid">
        <fgColor rgb="FFFCE4D6"/>
      </patternFill>
    </fill>
    <fill>
      <patternFill patternType="solid">
        <fgColor rgb="FFD9EDF7"/>
      </patternFill>
    </fill>
    <fill>
      <patternFill patternType="solid">
        <fgColor rgb="FF21878B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AF2F6"/>
      </patternFill>
    </fill>
    <fill>
      <patternFill patternType="solid">
        <fgColor rgb="FFBDD7EE"/>
      </patternFill>
    </fill>
    <fill>
      <patternFill patternType="solid">
        <fgColor rgb="FFF4CCCC"/>
      </patternFill>
    </fill>
    <fill>
      <patternFill patternType="solid">
        <fgColor rgb="FFC6E0B4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218A91"/>
      </patternFill>
    </fill>
    <fill>
      <patternFill patternType="solid">
        <fgColor rgb="FFEAF3F8"/>
      </patternFill>
    </fill>
    <fill>
      <patternFill patternType="solid">
        <fgColor rgb="FFF4F8FB"/>
      </patternFill>
    </fill>
    <fill>
      <patternFill patternType="solid">
        <fgColor rgb="FFFFFBE6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218A91"/>
      </patternFill>
    </fill>
    <fill>
      <patternFill patternType="solid">
        <fgColor rgb="FFEAF3F8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7FBFD"/>
      </patternFill>
    </fill>
    <fill>
      <patternFill patternType="solid">
        <fgColor rgb="FFF4F6F8"/>
      </patternFill>
    </fill>
    <fill>
      <patternFill patternType="solid">
        <fgColor rgb="FF173A5E"/>
      </patternFill>
    </fill>
    <fill>
      <patternFill patternType="solid">
        <fgColor rgb="FFDCECF7"/>
      </patternFill>
    </fill>
    <fill>
      <patternFill patternType="solid">
        <fgColor rgb="FF18848A"/>
      </patternFill>
    </fill>
    <fill>
      <patternFill patternType="solid">
        <fgColor rgb="FFE9F2F7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21898D"/>
      </patternFill>
    </fill>
    <fill>
      <patternFill patternType="solid">
        <fgColor rgb="FF173F5F"/>
      </patternFill>
    </fill>
    <fill>
      <patternFill patternType="solid">
        <fgColor rgb="FFEAF2F8"/>
      </patternFill>
    </fill>
    <fill>
      <patternFill patternType="solid">
        <fgColor rgb="FFF4F8FA"/>
      </patternFill>
    </fill>
    <fill>
      <patternFill patternType="solid">
        <fgColor rgb="FFFFFFFF"/>
      </patternFill>
    </fill>
  </fills>
  <borders count="27">
    <border>
      <left/>
      <right/>
      <top/>
      <bottom/>
      <diagonal/>
    </border>
    <border>
      <left/>
      <right/>
      <top/>
      <bottom style="thin">
        <color rgb="FFD9E5EC"/>
      </bottom>
      <diagonal/>
    </border>
    <border>
      <left/>
      <right/>
      <top style="thin">
        <color rgb="FFD9E5EC"/>
      </top>
      <bottom style="thin">
        <color rgb="FFD9E5EC"/>
      </bottom>
      <diagonal/>
    </border>
    <border>
      <left/>
      <right/>
      <top style="thin">
        <color rgb="FFD9E5EC"/>
      </top>
      <bottom/>
      <diagonal/>
    </border>
    <border>
      <left style="thin">
        <color rgb="FFD9E5EC"/>
      </left>
      <right style="thin">
        <color rgb="FFD9E5EC"/>
      </right>
      <top style="thin">
        <color rgb="FFD9E5EC"/>
      </top>
      <bottom style="thin">
        <color rgb="FFD9E5EC"/>
      </bottom>
      <diagonal/>
    </border>
    <border>
      <left style="thin">
        <color rgb="FFE6D68A"/>
      </left>
      <right style="thin">
        <color rgb="FFE6D68A"/>
      </right>
      <top style="thin">
        <color rgb="FFE6D68A"/>
      </top>
      <bottom style="thin">
        <color rgb="FFE6D68A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7E2EA"/>
      </right>
      <top/>
      <bottom style="thin">
        <color rgb="FFD7E2EA"/>
      </bottom>
      <diagonal/>
    </border>
    <border>
      <left style="thin">
        <color rgb="FFD7E2EA"/>
      </left>
      <right style="thin">
        <color rgb="FFD7E2EA"/>
      </right>
      <top/>
      <bottom style="thin">
        <color rgb="FFD7E2EA"/>
      </bottom>
      <diagonal/>
    </border>
    <border>
      <left style="thin">
        <color rgb="FFD7E2EA"/>
      </left>
      <right/>
      <top/>
      <bottom style="thin">
        <color rgb="FFD7E2EA"/>
      </bottom>
      <diagonal/>
    </border>
    <border>
      <left/>
      <right style="thin">
        <color rgb="FFD7E2EA"/>
      </right>
      <top style="thin">
        <color rgb="FFD7E2EA"/>
      </top>
      <bottom style="thin">
        <color rgb="FFD7E2EA"/>
      </bottom>
      <diagonal/>
    </border>
    <border>
      <left style="thin">
        <color rgb="FFD7E2EA"/>
      </left>
      <right style="thin">
        <color rgb="FFD7E2EA"/>
      </right>
      <top style="thin">
        <color rgb="FFD7E2EA"/>
      </top>
      <bottom style="thin">
        <color rgb="FFD7E2EA"/>
      </bottom>
      <diagonal/>
    </border>
    <border>
      <left style="thin">
        <color rgb="FFD7E2EA"/>
      </left>
      <right/>
      <top style="thin">
        <color rgb="FFD7E2EA"/>
      </top>
      <bottom style="thin">
        <color rgb="FFD7E2EA"/>
      </bottom>
      <diagonal/>
    </border>
    <border>
      <left/>
      <right style="thin">
        <color rgb="FFD7E2EA"/>
      </right>
      <top style="thin">
        <color rgb="FFD7E2EA"/>
      </top>
      <bottom/>
      <diagonal/>
    </border>
    <border>
      <left style="thin">
        <color rgb="FFD7E2EA"/>
      </left>
      <right style="thin">
        <color rgb="FFD7E2EA"/>
      </right>
      <top style="thin">
        <color rgb="FFD7E2EA"/>
      </top>
      <bottom/>
      <diagonal/>
    </border>
    <border>
      <left style="thin">
        <color rgb="FFD7E2EA"/>
      </left>
      <right/>
      <top style="thin">
        <color rgb="FFD7E2EA"/>
      </top>
      <bottom/>
      <diagonal/>
    </border>
    <border>
      <left/>
      <right style="thin">
        <color rgb="FFE6D9A9"/>
      </right>
      <top/>
      <bottom style="thin">
        <color rgb="FFE6D9A9"/>
      </bottom>
      <diagonal/>
    </border>
    <border>
      <left style="thin">
        <color rgb="FFE6D9A9"/>
      </left>
      <right style="thin">
        <color rgb="FFE6D9A9"/>
      </right>
      <top/>
      <bottom style="thin">
        <color rgb="FFE6D9A9"/>
      </bottom>
      <diagonal/>
    </border>
    <border>
      <left style="thin">
        <color rgb="FFE6D9A9"/>
      </left>
      <right/>
      <top/>
      <bottom style="thin">
        <color rgb="FFE6D9A9"/>
      </bottom>
      <diagonal/>
    </border>
    <border>
      <left/>
      <right style="thin">
        <color rgb="FFE6D9A9"/>
      </right>
      <top style="thin">
        <color rgb="FFE6D9A9"/>
      </top>
      <bottom style="thin">
        <color rgb="FFE6D9A9"/>
      </bottom>
      <diagonal/>
    </border>
    <border>
      <left style="thin">
        <color rgb="FFE6D9A9"/>
      </left>
      <right style="thin">
        <color rgb="FFE6D9A9"/>
      </right>
      <top style="thin">
        <color rgb="FFE6D9A9"/>
      </top>
      <bottom style="thin">
        <color rgb="FFE6D9A9"/>
      </bottom>
      <diagonal/>
    </border>
    <border>
      <left style="thin">
        <color rgb="FFE6D9A9"/>
      </left>
      <right/>
      <top style="thin">
        <color rgb="FFE6D9A9"/>
      </top>
      <bottom style="thin">
        <color rgb="FFE6D9A9"/>
      </bottom>
      <diagonal/>
    </border>
    <border>
      <left/>
      <right style="thin">
        <color rgb="FFE6D9A9"/>
      </right>
      <top style="thin">
        <color rgb="FFE6D9A9"/>
      </top>
      <bottom/>
      <diagonal/>
    </border>
    <border>
      <left style="thin">
        <color rgb="FFE6D9A9"/>
      </left>
      <right style="thin">
        <color rgb="FFE6D9A9"/>
      </right>
      <top style="thin">
        <color rgb="FFE6D9A9"/>
      </top>
      <bottom/>
      <diagonal/>
    </border>
    <border>
      <left style="thin">
        <color rgb="FFE6D9A9"/>
      </left>
      <right/>
      <top style="thin">
        <color rgb="FFE6D9A9"/>
      </top>
      <bottom/>
      <diagonal/>
    </border>
    <border>
      <left style="thin">
        <color rgb="FFD9E2E3"/>
      </left>
      <right style="thin">
        <color rgb="FFD9E2E3"/>
      </right>
      <top style="thin">
        <color rgb="FFD9E2E3"/>
      </top>
      <bottom style="thin">
        <color rgb="FFD9E2E3"/>
      </bottom>
      <diagonal/>
    </border>
    <border>
      <left style="thin">
        <color rgb="FFD6E4E5"/>
      </left>
      <right style="thin">
        <color rgb="FFD6E4E5"/>
      </right>
      <top style="thin">
        <color rgb="FFD6E4E5"/>
      </top>
      <bottom style="thin">
        <color rgb="FFD6E4E5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vertical="top" wrapText="1"/>
    </xf>
    <xf numFmtId="0" fontId="2" fillId="0" borderId="2" xfId="0" applyNumberFormat="1" applyFont="1" applyFill="1" applyBorder="1" applyAlignment="1">
      <alignment vertical="top" wrapText="1"/>
    </xf>
    <xf numFmtId="0" fontId="2" fillId="0" borderId="3" xfId="0" applyNumberFormat="1" applyFont="1" applyFill="1" applyBorder="1" applyAlignment="1">
      <alignment vertical="top" wrapText="1"/>
    </xf>
    <xf numFmtId="0" fontId="2" fillId="3" borderId="1" xfId="0" applyNumberFormat="1" applyFont="1" applyFill="1" applyBorder="1" applyAlignment="1">
      <alignment vertical="top" wrapText="1"/>
    </xf>
    <xf numFmtId="0" fontId="2" fillId="4" borderId="2" xfId="0" applyNumberFormat="1" applyFont="1" applyFill="1" applyBorder="1" applyAlignment="1">
      <alignment vertical="top" wrapText="1"/>
    </xf>
    <xf numFmtId="0" fontId="2" fillId="3" borderId="2" xfId="0" applyNumberFormat="1" applyFont="1" applyFill="1" applyBorder="1" applyAlignment="1">
      <alignment vertical="top" wrapText="1"/>
    </xf>
    <xf numFmtId="0" fontId="2" fillId="4" borderId="3" xfId="0" applyNumberFormat="1" applyFont="1" applyFill="1" applyBorder="1" applyAlignment="1">
      <alignment vertical="top" wrapText="1"/>
    </xf>
    <xf numFmtId="0" fontId="3" fillId="5" borderId="1" xfId="0" applyNumberFormat="1" applyFont="1" applyFill="1" applyBorder="1" applyAlignment="1">
      <alignment horizontal="center" vertical="top" wrapText="1"/>
    </xf>
    <xf numFmtId="0" fontId="3" fillId="5" borderId="2" xfId="0" applyNumberFormat="1" applyFont="1" applyFill="1" applyBorder="1" applyAlignment="1">
      <alignment horizontal="center" vertical="top" wrapText="1"/>
    </xf>
    <xf numFmtId="0" fontId="3" fillId="3" borderId="1" xfId="0" applyNumberFormat="1" applyFont="1" applyFill="1" applyBorder="1" applyAlignment="1">
      <alignment vertical="top" wrapText="1"/>
    </xf>
    <xf numFmtId="0" fontId="3" fillId="4" borderId="2" xfId="0" applyNumberFormat="1" applyFont="1" applyFill="1" applyBorder="1" applyAlignment="1">
      <alignment vertical="top" wrapText="1"/>
    </xf>
    <xf numFmtId="0" fontId="3" fillId="3" borderId="2" xfId="0" applyNumberFormat="1" applyFont="1" applyFill="1" applyBorder="1" applyAlignment="1">
      <alignment vertical="top" wrapText="1"/>
    </xf>
    <xf numFmtId="0" fontId="3" fillId="4" borderId="3" xfId="0" applyNumberFormat="1" applyFont="1" applyFill="1" applyBorder="1" applyAlignment="1">
      <alignment vertical="top" wrapText="1"/>
    </xf>
    <xf numFmtId="0" fontId="1" fillId="7" borderId="0" xfId="0" applyNumberFormat="1" applyFont="1" applyFill="1" applyBorder="1" applyAlignment="1">
      <alignment horizontal="center" wrapText="1"/>
    </xf>
    <xf numFmtId="0" fontId="3" fillId="0" borderId="1" xfId="0" applyNumberFormat="1" applyFont="1" applyFill="1" applyBorder="1" applyAlignment="1">
      <alignment vertical="top" wrapText="1"/>
    </xf>
    <xf numFmtId="0" fontId="3" fillId="0" borderId="2" xfId="0" applyNumberFormat="1" applyFont="1" applyFill="1" applyBorder="1" applyAlignment="1">
      <alignment vertical="top" wrapText="1"/>
    </xf>
    <xf numFmtId="0" fontId="3" fillId="0" borderId="3" xfId="0" applyNumberFormat="1" applyFont="1" applyFill="1" applyBorder="1" applyAlignment="1">
      <alignment vertical="top" wrapText="1"/>
    </xf>
    <xf numFmtId="0" fontId="7" fillId="10" borderId="0" xfId="0" applyNumberFormat="1" applyFont="1" applyFill="1" applyBorder="1" applyAlignment="1">
      <alignment horizontal="center" wrapText="1"/>
    </xf>
    <xf numFmtId="0" fontId="2" fillId="0" borderId="0" xfId="0" applyNumberFormat="1" applyFont="1" applyFill="1" applyBorder="1" applyAlignment="1">
      <alignment vertical="top" wrapText="1"/>
    </xf>
    <xf numFmtId="0" fontId="1" fillId="7" borderId="0" xfId="0" applyNumberFormat="1" applyFont="1" applyFill="1" applyBorder="1" applyAlignment="1">
      <alignment horizontal="center" vertical="center" wrapText="1"/>
    </xf>
    <xf numFmtId="0" fontId="3" fillId="11" borderId="1" xfId="0" applyNumberFormat="1" applyFont="1" applyFill="1" applyBorder="1" applyAlignment="1">
      <alignment horizontal="center" vertical="top" wrapText="1"/>
    </xf>
    <xf numFmtId="164" fontId="2" fillId="3" borderId="1" xfId="0" applyNumberFormat="1" applyFont="1" applyFill="1" applyBorder="1" applyAlignment="1">
      <alignment vertical="top" wrapText="1"/>
    </xf>
    <xf numFmtId="0" fontId="3" fillId="12" borderId="1" xfId="0" applyNumberFormat="1" applyFont="1" applyFill="1" applyBorder="1" applyAlignment="1">
      <alignment horizontal="center" vertical="top" wrapText="1"/>
    </xf>
    <xf numFmtId="0" fontId="3" fillId="11" borderId="2" xfId="0" applyNumberFormat="1" applyFont="1" applyFill="1" applyBorder="1" applyAlignment="1">
      <alignment horizontal="center" vertical="top" wrapText="1"/>
    </xf>
    <xf numFmtId="164" fontId="2" fillId="4" borderId="2" xfId="0" applyNumberFormat="1" applyFont="1" applyFill="1" applyBorder="1" applyAlignment="1">
      <alignment vertical="top" wrapText="1"/>
    </xf>
    <xf numFmtId="0" fontId="3" fillId="12" borderId="2" xfId="0" applyNumberFormat="1" applyFont="1" applyFill="1" applyBorder="1" applyAlignment="1">
      <alignment horizontal="center" vertical="top" wrapText="1"/>
    </xf>
    <xf numFmtId="164" fontId="2" fillId="3" borderId="2" xfId="0" applyNumberFormat="1" applyFont="1" applyFill="1" applyBorder="1" applyAlignment="1">
      <alignment vertical="top" wrapText="1"/>
    </xf>
    <xf numFmtId="0" fontId="2" fillId="9" borderId="2" xfId="0" applyNumberFormat="1" applyFont="1" applyFill="1" applyBorder="1" applyAlignment="1">
      <alignment vertical="top" wrapText="1"/>
    </xf>
    <xf numFmtId="0" fontId="3" fillId="9" borderId="2" xfId="0" applyNumberFormat="1" applyFont="1" applyFill="1" applyBorder="1" applyAlignment="1">
      <alignment horizontal="center" vertical="top" wrapText="1"/>
    </xf>
    <xf numFmtId="0" fontId="3" fillId="8" borderId="2" xfId="0" applyNumberFormat="1" applyFont="1" applyFill="1" applyBorder="1" applyAlignment="1">
      <alignment horizontal="center" vertical="top" wrapText="1"/>
    </xf>
    <xf numFmtId="0" fontId="2" fillId="3" borderId="3" xfId="0" applyNumberFormat="1" applyFont="1" applyFill="1" applyBorder="1" applyAlignment="1">
      <alignment vertical="top" wrapText="1"/>
    </xf>
    <xf numFmtId="0" fontId="3" fillId="8" borderId="3" xfId="0" applyNumberFormat="1" applyFont="1" applyFill="1" applyBorder="1" applyAlignment="1">
      <alignment horizontal="center" vertical="top" wrapText="1"/>
    </xf>
    <xf numFmtId="0" fontId="3" fillId="3" borderId="3" xfId="0" applyNumberFormat="1" applyFont="1" applyFill="1" applyBorder="1" applyAlignment="1">
      <alignment vertical="top" wrapText="1"/>
    </xf>
    <xf numFmtId="0" fontId="3" fillId="11" borderId="3" xfId="0" applyNumberFormat="1" applyFont="1" applyFill="1" applyBorder="1" applyAlignment="1">
      <alignment horizontal="center" vertical="top" wrapText="1"/>
    </xf>
    <xf numFmtId="164" fontId="2" fillId="3" borderId="3" xfId="0" applyNumberFormat="1" applyFont="1" applyFill="1" applyBorder="1" applyAlignment="1">
      <alignment vertical="top" wrapText="1"/>
    </xf>
    <xf numFmtId="0" fontId="3" fillId="12" borderId="3" xfId="0" applyNumberFormat="1" applyFont="1" applyFill="1" applyBorder="1" applyAlignment="1">
      <alignment horizontal="center" vertical="top" wrapText="1"/>
    </xf>
    <xf numFmtId="0" fontId="2" fillId="0" borderId="4" xfId="0" applyNumberFormat="1" applyFont="1" applyFill="1" applyBorder="1" applyAlignment="1">
      <alignment horizontal="center"/>
    </xf>
    <xf numFmtId="0" fontId="2" fillId="8" borderId="4" xfId="0" applyNumberFormat="1" applyFont="1" applyFill="1" applyBorder="1" applyAlignment="1">
      <alignment horizontal="center"/>
    </xf>
    <xf numFmtId="0" fontId="2" fillId="5" borderId="4" xfId="0" applyNumberFormat="1" applyFont="1" applyFill="1" applyBorder="1" applyAlignment="1">
      <alignment horizontal="center"/>
    </xf>
    <xf numFmtId="0" fontId="2" fillId="6" borderId="4" xfId="0" applyNumberFormat="1" applyFont="1" applyFill="1" applyBorder="1" applyAlignment="1">
      <alignment horizontal="center"/>
    </xf>
    <xf numFmtId="0" fontId="2" fillId="13" borderId="4" xfId="0" applyNumberFormat="1" applyFont="1" applyFill="1" applyBorder="1" applyAlignment="1">
      <alignment horizontal="center"/>
    </xf>
    <xf numFmtId="9" fontId="2" fillId="0" borderId="4" xfId="0" applyNumberFormat="1" applyFont="1" applyFill="1" applyBorder="1" applyAlignment="1">
      <alignment horizontal="center"/>
    </xf>
    <xf numFmtId="0" fontId="3" fillId="10" borderId="4" xfId="0" applyNumberFormat="1" applyFont="1" applyFill="1" applyBorder="1" applyAlignment="1">
      <alignment horizontal="center"/>
    </xf>
    <xf numFmtId="9" fontId="3" fillId="10" borderId="4" xfId="0" applyNumberFormat="1" applyFont="1" applyFill="1" applyBorder="1" applyAlignment="1">
      <alignment horizontal="center"/>
    </xf>
    <xf numFmtId="9" fontId="0" fillId="0" borderId="0" xfId="0" applyNumberFormat="1" applyFont="1" applyFill="1" applyBorder="1"/>
    <xf numFmtId="0" fontId="2" fillId="9" borderId="1" xfId="0" applyNumberFormat="1" applyFont="1" applyFill="1" applyBorder="1" applyAlignment="1">
      <alignment vertical="top" wrapText="1"/>
    </xf>
    <xf numFmtId="0" fontId="2" fillId="6" borderId="1" xfId="0" applyNumberFormat="1" applyFont="1" applyFill="1" applyBorder="1" applyAlignment="1">
      <alignment vertical="top" wrapText="1"/>
    </xf>
    <xf numFmtId="0" fontId="2" fillId="6" borderId="2" xfId="0" applyNumberFormat="1" applyFont="1" applyFill="1" applyBorder="1" applyAlignment="1">
      <alignment vertical="top" wrapText="1"/>
    </xf>
    <xf numFmtId="0" fontId="2" fillId="9" borderId="3" xfId="0" applyNumberFormat="1" applyFont="1" applyFill="1" applyBorder="1" applyAlignment="1">
      <alignment vertical="top" wrapText="1"/>
    </xf>
    <xf numFmtId="0" fontId="2" fillId="6" borderId="3" xfId="0" applyNumberFormat="1" applyFont="1" applyFill="1" applyBorder="1" applyAlignment="1">
      <alignment vertical="top" wrapText="1"/>
    </xf>
    <xf numFmtId="0" fontId="1" fillId="7" borderId="0" xfId="0" applyNumberFormat="1" applyFont="1" applyFill="1" applyBorder="1" applyAlignment="1">
      <alignment horizontal="center"/>
    </xf>
    <xf numFmtId="0" fontId="3" fillId="10" borderId="0" xfId="0" applyNumberFormat="1" applyFont="1" applyFill="1" applyBorder="1" applyAlignment="1">
      <alignment horizontal="center"/>
    </xf>
    <xf numFmtId="9" fontId="3" fillId="10" borderId="0" xfId="0" applyNumberFormat="1" applyFont="1" applyFill="1" applyBorder="1" applyAlignment="1">
      <alignment horizontal="center"/>
    </xf>
    <xf numFmtId="0" fontId="11" fillId="14" borderId="5" xfId="0" applyNumberFormat="1" applyFont="1" applyFill="1" applyBorder="1" applyAlignment="1">
      <alignment horizontal="left" vertical="center" wrapText="1"/>
    </xf>
    <xf numFmtId="0" fontId="1" fillId="7" borderId="6" xfId="0" applyNumberFormat="1" applyFont="1" applyFill="1" applyBorder="1" applyAlignment="1">
      <alignment horizontal="center" vertical="center" wrapText="1"/>
    </xf>
    <xf numFmtId="0" fontId="11" fillId="16" borderId="5" xfId="0" applyNumberFormat="1" applyFont="1" applyFill="1" applyBorder="1" applyAlignment="1">
      <alignment vertical="center" wrapText="1"/>
    </xf>
    <xf numFmtId="0" fontId="15" fillId="18" borderId="6" xfId="0" applyNumberFormat="1" applyFont="1" applyFill="1" applyBorder="1" applyAlignment="1">
      <alignment horizontal="center" vertical="center" wrapText="1"/>
    </xf>
    <xf numFmtId="0" fontId="17" fillId="0" borderId="6" xfId="0" applyNumberFormat="1" applyFont="1" applyFill="1" applyBorder="1" applyAlignment="1">
      <alignment vertical="top" wrapText="1"/>
    </xf>
    <xf numFmtId="0" fontId="17" fillId="20" borderId="6" xfId="0" applyNumberFormat="1" applyFont="1" applyFill="1" applyBorder="1" applyAlignment="1">
      <alignment vertical="top" wrapText="1"/>
    </xf>
    <xf numFmtId="0" fontId="17" fillId="21" borderId="6" xfId="0" applyNumberFormat="1" applyFont="1" applyFill="1" applyBorder="1" applyAlignment="1">
      <alignment vertical="top" wrapText="1"/>
    </xf>
    <xf numFmtId="0" fontId="17" fillId="17" borderId="6" xfId="0" applyNumberFormat="1" applyFont="1" applyFill="1" applyBorder="1" applyAlignment="1">
      <alignment vertical="top" wrapText="1"/>
    </xf>
    <xf numFmtId="0" fontId="17" fillId="16" borderId="6" xfId="0" applyNumberFormat="1" applyFont="1" applyFill="1" applyBorder="1" applyAlignment="1">
      <alignment vertical="top" wrapText="1"/>
    </xf>
    <xf numFmtId="0" fontId="1" fillId="25" borderId="0" xfId="0" applyNumberFormat="1" applyFont="1" applyFill="1" applyBorder="1" applyAlignment="1">
      <alignment horizontal="center" wrapText="1"/>
    </xf>
    <xf numFmtId="0" fontId="3" fillId="26" borderId="0" xfId="0" applyNumberFormat="1" applyFont="1" applyFill="1" applyBorder="1" applyAlignment="1">
      <alignment horizontal="center" wrapText="1"/>
    </xf>
    <xf numFmtId="0" fontId="3" fillId="27" borderId="0" xfId="0" applyNumberFormat="1" applyFont="1" applyFill="1" applyBorder="1" applyAlignment="1">
      <alignment horizontal="center" wrapText="1"/>
    </xf>
    <xf numFmtId="0" fontId="3" fillId="28" borderId="0" xfId="0" applyNumberFormat="1" applyFont="1" applyFill="1" applyBorder="1" applyAlignment="1">
      <alignment horizontal="center" wrapText="1"/>
    </xf>
    <xf numFmtId="9" fontId="3" fillId="26" borderId="0" xfId="0" applyNumberFormat="1" applyFont="1" applyFill="1" applyBorder="1" applyAlignment="1">
      <alignment horizontal="center" wrapText="1"/>
    </xf>
    <xf numFmtId="0" fontId="1" fillId="25" borderId="4" xfId="0" applyNumberFormat="1" applyFont="1" applyFill="1" applyBorder="1" applyAlignment="1">
      <alignment horizontal="center" wrapText="1"/>
    </xf>
    <xf numFmtId="0" fontId="18" fillId="23" borderId="5" xfId="0" applyNumberFormat="1" applyFont="1" applyFill="1" applyBorder="1" applyAlignment="1">
      <alignment wrapText="1"/>
    </xf>
    <xf numFmtId="0" fontId="2" fillId="26" borderId="4" xfId="0" applyNumberFormat="1" applyFont="1" applyFill="1" applyBorder="1" applyAlignment="1">
      <alignment vertical="top" wrapText="1"/>
    </xf>
    <xf numFmtId="0" fontId="2" fillId="29" borderId="4" xfId="0" applyNumberFormat="1" applyFont="1" applyFill="1" applyBorder="1" applyAlignment="1">
      <alignment vertical="top" wrapText="1"/>
    </xf>
    <xf numFmtId="0" fontId="2" fillId="23" borderId="4" xfId="0" applyNumberFormat="1" applyFont="1" applyFill="1" applyBorder="1" applyAlignment="1">
      <alignment vertical="top" wrapText="1"/>
    </xf>
    <xf numFmtId="0" fontId="2" fillId="30" borderId="4" xfId="0" applyNumberFormat="1" applyFont="1" applyFill="1" applyBorder="1" applyAlignment="1">
      <alignment vertical="top" wrapText="1"/>
    </xf>
    <xf numFmtId="0" fontId="2" fillId="28" borderId="4" xfId="0" applyNumberFormat="1" applyFont="1" applyFill="1" applyBorder="1" applyAlignment="1">
      <alignment vertical="top" wrapText="1"/>
    </xf>
    <xf numFmtId="0" fontId="22" fillId="0" borderId="0" xfId="0" applyNumberFormat="1" applyFont="1" applyFill="1" applyBorder="1"/>
    <xf numFmtId="0" fontId="21" fillId="33" borderId="0" xfId="0" applyNumberFormat="1" applyFont="1" applyFill="1" applyBorder="1" applyAlignment="1">
      <alignment horizontal="center" vertical="center"/>
    </xf>
    <xf numFmtId="0" fontId="21" fillId="34" borderId="0" xfId="0" applyNumberFormat="1" applyFont="1" applyFill="1" applyBorder="1" applyAlignment="1">
      <alignment horizontal="center" vertical="center"/>
    </xf>
    <xf numFmtId="9" fontId="21" fillId="34" borderId="0" xfId="0" applyNumberFormat="1" applyFont="1" applyFill="1" applyBorder="1" applyAlignment="1">
      <alignment horizontal="center" vertical="center"/>
    </xf>
    <xf numFmtId="0" fontId="21" fillId="33" borderId="0" xfId="0" applyNumberFormat="1" applyFont="1" applyFill="1" applyBorder="1" applyAlignment="1">
      <alignment horizontal="center" vertical="center" wrapText="1"/>
    </xf>
    <xf numFmtId="0" fontId="21" fillId="32" borderId="7" xfId="0" applyNumberFormat="1" applyFont="1" applyFill="1" applyBorder="1" applyAlignment="1">
      <alignment horizontal="center" vertical="center" wrapText="1"/>
    </xf>
    <xf numFmtId="0" fontId="22" fillId="0" borderId="8" xfId="0" applyNumberFormat="1" applyFont="1" applyFill="1" applyBorder="1" applyAlignment="1">
      <alignment vertical="top" wrapText="1"/>
    </xf>
    <xf numFmtId="0" fontId="21" fillId="35" borderId="8" xfId="0" applyNumberFormat="1" applyFont="1" applyFill="1" applyBorder="1" applyAlignment="1">
      <alignment horizontal="center" vertical="center" wrapText="1"/>
    </xf>
    <xf numFmtId="0" fontId="22" fillId="0" borderId="9" xfId="0" applyNumberFormat="1" applyFont="1" applyFill="1" applyBorder="1" applyAlignment="1">
      <alignment vertical="top" wrapText="1"/>
    </xf>
    <xf numFmtId="0" fontId="21" fillId="32" borderId="10" xfId="0" applyNumberFormat="1" applyFont="1" applyFill="1" applyBorder="1" applyAlignment="1">
      <alignment horizontal="center" vertical="center" wrapText="1"/>
    </xf>
    <xf numFmtId="0" fontId="22" fillId="0" borderId="11" xfId="0" applyNumberFormat="1" applyFont="1" applyFill="1" applyBorder="1" applyAlignment="1">
      <alignment vertical="top" wrapText="1"/>
    </xf>
    <xf numFmtId="0" fontId="21" fillId="35" borderId="11" xfId="0" applyNumberFormat="1" applyFont="1" applyFill="1" applyBorder="1" applyAlignment="1">
      <alignment horizontal="center" vertical="center" wrapText="1"/>
    </xf>
    <xf numFmtId="0" fontId="22" fillId="0" borderId="12" xfId="0" applyNumberFormat="1" applyFont="1" applyFill="1" applyBorder="1" applyAlignment="1">
      <alignment vertical="top" wrapText="1"/>
    </xf>
    <xf numFmtId="0" fontId="21" fillId="32" borderId="13" xfId="0" applyNumberFormat="1" applyFont="1" applyFill="1" applyBorder="1" applyAlignment="1">
      <alignment horizontal="center" vertical="center" wrapText="1"/>
    </xf>
    <xf numFmtId="0" fontId="22" fillId="0" borderId="14" xfId="0" applyNumberFormat="1" applyFont="1" applyFill="1" applyBorder="1" applyAlignment="1">
      <alignment vertical="top" wrapText="1"/>
    </xf>
    <xf numFmtId="0" fontId="21" fillId="35" borderId="14" xfId="0" applyNumberFormat="1" applyFont="1" applyFill="1" applyBorder="1" applyAlignment="1">
      <alignment horizontal="center" vertical="center" wrapText="1"/>
    </xf>
    <xf numFmtId="0" fontId="22" fillId="0" borderId="15" xfId="0" applyNumberFormat="1" applyFont="1" applyFill="1" applyBorder="1" applyAlignment="1">
      <alignment vertical="top" wrapText="1"/>
    </xf>
    <xf numFmtId="0" fontId="22" fillId="36" borderId="16" xfId="0" applyNumberFormat="1" applyFont="1" applyFill="1" applyBorder="1" applyAlignment="1">
      <alignment vertical="top" wrapText="1"/>
    </xf>
    <xf numFmtId="0" fontId="22" fillId="36" borderId="17" xfId="0" applyNumberFormat="1" applyFont="1" applyFill="1" applyBorder="1" applyAlignment="1">
      <alignment vertical="top" wrapText="1"/>
    </xf>
    <xf numFmtId="0" fontId="22" fillId="36" borderId="18" xfId="0" applyNumberFormat="1" applyFont="1" applyFill="1" applyBorder="1" applyAlignment="1">
      <alignment vertical="top" wrapText="1"/>
    </xf>
    <xf numFmtId="0" fontId="22" fillId="36" borderId="19" xfId="0" applyNumberFormat="1" applyFont="1" applyFill="1" applyBorder="1" applyAlignment="1">
      <alignment vertical="top" wrapText="1"/>
    </xf>
    <xf numFmtId="0" fontId="22" fillId="36" borderId="20" xfId="0" applyNumberFormat="1" applyFont="1" applyFill="1" applyBorder="1" applyAlignment="1">
      <alignment vertical="top" wrapText="1"/>
    </xf>
    <xf numFmtId="0" fontId="22" fillId="36" borderId="21" xfId="0" applyNumberFormat="1" applyFont="1" applyFill="1" applyBorder="1" applyAlignment="1">
      <alignment vertical="top" wrapText="1"/>
    </xf>
    <xf numFmtId="0" fontId="22" fillId="36" borderId="22" xfId="0" applyNumberFormat="1" applyFont="1" applyFill="1" applyBorder="1" applyAlignment="1">
      <alignment vertical="top" wrapText="1"/>
    </xf>
    <xf numFmtId="0" fontId="22" fillId="36" borderId="23" xfId="0" applyNumberFormat="1" applyFont="1" applyFill="1" applyBorder="1" applyAlignment="1">
      <alignment vertical="top" wrapText="1"/>
    </xf>
    <xf numFmtId="0" fontId="22" fillId="36" borderId="24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 wrapText="1"/>
    </xf>
    <xf numFmtId="0" fontId="1" fillId="37" borderId="0" xfId="0" applyNumberFormat="1" applyFont="1" applyFill="1" applyBorder="1" applyAlignment="1">
      <alignment horizontal="center" vertical="center" wrapText="1"/>
    </xf>
    <xf numFmtId="0" fontId="1" fillId="37" borderId="25" xfId="0" applyNumberFormat="1" applyFont="1" applyFill="1" applyBorder="1" applyAlignment="1">
      <alignment horizontal="center"/>
    </xf>
    <xf numFmtId="0" fontId="0" fillId="40" borderId="25" xfId="0" applyNumberFormat="1" applyFont="1" applyFill="1" applyBorder="1" applyAlignment="1">
      <alignment horizontal="center"/>
    </xf>
    <xf numFmtId="0" fontId="1" fillId="37" borderId="26" xfId="0" applyNumberFormat="1" applyFont="1" applyFill="1" applyBorder="1" applyAlignment="1">
      <alignment horizontal="center" vertical="center" wrapText="1"/>
    </xf>
    <xf numFmtId="0" fontId="0" fillId="40" borderId="25" xfId="0" applyNumberFormat="1" applyFont="1" applyFill="1" applyBorder="1" applyAlignment="1">
      <alignment horizontal="center" vertical="center" wrapText="1"/>
    </xf>
    <xf numFmtId="0" fontId="0" fillId="41" borderId="25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26" fillId="41" borderId="25" xfId="0" applyNumberFormat="1" applyFont="1" applyFill="1" applyBorder="1" applyAlignment="1">
      <alignment vertical="center" wrapText="1"/>
    </xf>
    <xf numFmtId="0" fontId="0" fillId="41" borderId="25" xfId="0" applyNumberFormat="1" applyFont="1" applyFill="1" applyBorder="1" applyAlignment="1">
      <alignment vertical="center" wrapText="1"/>
    </xf>
    <xf numFmtId="0" fontId="26" fillId="40" borderId="25" xfId="0" applyNumberFormat="1" applyFont="1" applyFill="1" applyBorder="1" applyAlignment="1">
      <alignment vertical="center" wrapText="1"/>
    </xf>
    <xf numFmtId="0" fontId="0" fillId="40" borderId="25" xfId="0" applyNumberFormat="1" applyFont="1" applyFill="1" applyBorder="1" applyAlignment="1">
      <alignment vertical="center" wrapText="1"/>
    </xf>
    <xf numFmtId="0" fontId="20" fillId="38" borderId="0" xfId="0" applyNumberFormat="1" applyFont="1" applyFill="1" applyBorder="1"/>
    <xf numFmtId="0" fontId="1" fillId="37" borderId="0" xfId="0" applyNumberFormat="1" applyFont="1" applyFill="1" applyBorder="1" applyAlignment="1">
      <alignment horizontal="center" vertical="center" wrapText="1"/>
    </xf>
    <xf numFmtId="0" fontId="9" fillId="10" borderId="0" xfId="0" applyNumberFormat="1" applyFont="1" applyFill="1" applyBorder="1" applyAlignment="1">
      <alignment wrapText="1"/>
    </xf>
    <xf numFmtId="0" fontId="10" fillId="9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/>
    <xf numFmtId="0" fontId="8" fillId="10" borderId="0" xfId="0" applyNumberFormat="1" applyFont="1" applyFill="1" applyBorder="1"/>
    <xf numFmtId="0" fontId="1" fillId="7" borderId="0" xfId="0" applyNumberFormat="1" applyFont="1" applyFill="1" applyBorder="1"/>
    <xf numFmtId="0" fontId="15" fillId="18" borderId="0" xfId="0" applyNumberFormat="1" applyFont="1" applyFill="1" applyBorder="1" applyAlignment="1">
      <alignment horizontal="center" vertical="center" wrapText="1"/>
    </xf>
    <xf numFmtId="0" fontId="16" fillId="19" borderId="0" xfId="0" applyNumberFormat="1" applyFont="1" applyFill="1" applyBorder="1" applyAlignment="1">
      <alignment horizontal="center" vertical="center"/>
    </xf>
    <xf numFmtId="0" fontId="12" fillId="15" borderId="0" xfId="0" applyNumberFormat="1" applyFont="1" applyFill="1" applyBorder="1" applyAlignment="1">
      <alignment vertical="center"/>
    </xf>
    <xf numFmtId="0" fontId="13" fillId="16" borderId="0" xfId="0" applyNumberFormat="1" applyFont="1" applyFill="1" applyBorder="1" applyAlignment="1">
      <alignment vertical="center" wrapText="1"/>
    </xf>
    <xf numFmtId="0" fontId="14" fillId="17" borderId="0" xfId="0" applyNumberFormat="1" applyFont="1" applyFill="1" applyBorder="1" applyAlignment="1">
      <alignment vertical="center" wrapText="1"/>
    </xf>
    <xf numFmtId="9" fontId="16" fillId="19" borderId="0" xfId="0" applyNumberFormat="1" applyFont="1" applyFill="1" applyBorder="1" applyAlignment="1">
      <alignment horizontal="center" vertical="center"/>
    </xf>
    <xf numFmtId="0" fontId="7" fillId="10" borderId="0" xfId="0" applyNumberFormat="1" applyFont="1" applyFill="1" applyBorder="1" applyAlignment="1">
      <alignment horizontal="center" wrapText="1"/>
    </xf>
    <xf numFmtId="0" fontId="0" fillId="0" borderId="0" xfId="0"/>
    <xf numFmtId="0" fontId="5" fillId="9" borderId="0" xfId="0" applyNumberFormat="1" applyFont="1" applyFill="1" applyBorder="1" applyAlignment="1">
      <alignment wrapText="1"/>
    </xf>
    <xf numFmtId="0" fontId="6" fillId="5" borderId="0" xfId="0" applyNumberFormat="1" applyFont="1" applyFill="1" applyBorder="1" applyAlignment="1">
      <alignment wrapText="1"/>
    </xf>
    <xf numFmtId="0" fontId="12" fillId="31" borderId="0" xfId="0" applyNumberFormat="1" applyFont="1" applyFill="1" applyBorder="1" applyAlignment="1">
      <alignment vertical="center"/>
    </xf>
    <xf numFmtId="0" fontId="22" fillId="0" borderId="0" xfId="0" applyNumberFormat="1" applyFont="1" applyFill="1" applyBorder="1"/>
    <xf numFmtId="0" fontId="23" fillId="32" borderId="0" xfId="0" applyNumberFormat="1" applyFont="1" applyFill="1" applyBorder="1" applyAlignment="1">
      <alignment vertical="center" wrapText="1"/>
    </xf>
    <xf numFmtId="0" fontId="20" fillId="31" borderId="0" xfId="0" applyNumberFormat="1" applyFont="1" applyFill="1" applyBorder="1" applyAlignment="1">
      <alignment vertical="center"/>
    </xf>
    <xf numFmtId="0" fontId="3" fillId="6" borderId="0" xfId="0" applyNumberFormat="1" applyFont="1" applyFill="1" applyBorder="1" applyAlignment="1">
      <alignment wrapText="1"/>
    </xf>
    <xf numFmtId="0" fontId="1" fillId="7" borderId="0" xfId="0" applyNumberFormat="1" applyFont="1" applyFill="1" applyBorder="1" applyAlignment="1">
      <alignment horizontal="center" wrapText="1"/>
    </xf>
    <xf numFmtId="0" fontId="3" fillId="10" borderId="0" xfId="0" applyNumberFormat="1" applyFont="1" applyFill="1" applyBorder="1" applyAlignment="1">
      <alignment horizontal="center" vertical="center" wrapText="1"/>
    </xf>
    <xf numFmtId="9" fontId="3" fillId="10" borderId="0" xfId="0" applyNumberFormat="1" applyFont="1" applyFill="1" applyBorder="1" applyAlignment="1">
      <alignment horizontal="center" vertical="center" wrapText="1"/>
    </xf>
    <xf numFmtId="0" fontId="24" fillId="38" borderId="0" xfId="0" applyNumberFormat="1" applyFont="1" applyFill="1" applyBorder="1" applyAlignment="1">
      <alignment vertical="center"/>
    </xf>
    <xf numFmtId="0" fontId="25" fillId="39" borderId="0" xfId="0" applyNumberFormat="1" applyFont="1" applyFill="1" applyBorder="1" applyAlignment="1">
      <alignment wrapText="1"/>
    </xf>
    <xf numFmtId="0" fontId="1" fillId="22" borderId="0" xfId="0" applyNumberFormat="1" applyFont="1" applyFill="1" applyBorder="1"/>
    <xf numFmtId="0" fontId="18" fillId="23" borderId="0" xfId="0" applyNumberFormat="1" applyFont="1" applyFill="1" applyBorder="1" applyAlignment="1">
      <alignment wrapText="1"/>
    </xf>
    <xf numFmtId="0" fontId="19" fillId="24" borderId="0" xfId="0" applyNumberFormat="1" applyFont="1" applyFill="1" applyBorder="1" applyAlignment="1">
      <alignment wrapText="1"/>
    </xf>
    <xf numFmtId="0" fontId="3" fillId="26" borderId="0" xfId="0" applyNumberFormat="1" applyFont="1" applyFill="1" applyBorder="1" applyAlignment="1">
      <alignment horizontal="center" wrapText="1"/>
    </xf>
    <xf numFmtId="0" fontId="2" fillId="3" borderId="0" xfId="0" applyNumberFormat="1" applyFont="1" applyFill="1" applyBorder="1" applyAlignment="1">
      <alignment wrapText="1"/>
    </xf>
    <xf numFmtId="0" fontId="4" fillId="8" borderId="0" xfId="0" applyNumberFormat="1" applyFont="1" applyFill="1" applyBorder="1" applyAlignment="1">
      <alignment wrapText="1"/>
    </xf>
    <xf numFmtId="0" fontId="2" fillId="9" borderId="0" xfId="0" applyNumberFormat="1" applyFont="1" applyFill="1" applyBorder="1" applyAlignment="1">
      <alignment wrapText="1"/>
    </xf>
  </cellXfs>
  <cellStyles count="1">
    <cellStyle name="Normal" xfId="0" builtinId="0"/>
  </cellStyles>
  <dxfs count="10"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>
          <bgColor rgb="FFFCE4D6"/>
        </patternFill>
      </fill>
    </dxf>
    <dxf>
      <font>
        <b/>
        <i val="0"/>
        <color rgb="FF006100"/>
      </font>
      <fill>
        <patternFill>
          <bgColor rgb="FFE2F0D9"/>
        </patternFill>
      </fill>
    </dxf>
    <dxf>
      <font>
        <b/>
        <i val="0"/>
        <color rgb="FF006100"/>
      </font>
      <fill>
        <patternFill>
          <bgColor rgb="FFE2F0D9"/>
        </patternFill>
      </fill>
    </dxf>
    <dxf>
      <font>
        <b/>
        <i val="0"/>
        <color rgb="FF9C5700"/>
      </font>
      <fill>
        <patternFill>
          <bgColor rgb="FFFCE4D6"/>
        </patternFill>
      </fill>
    </dxf>
    <dxf>
      <font>
        <b/>
        <i val="0"/>
        <color rgb="FF9C0006"/>
      </font>
      <fill>
        <patternFill>
          <bgColor rgb="FFF4CCCC"/>
        </patternFill>
      </fill>
    </dxf>
    <dxf>
      <font>
        <b/>
        <i val="0"/>
        <color rgb="FF375623"/>
      </font>
      <fill>
        <patternFill>
          <bgColor rgb="FFC6E0B4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375623"/>
      </font>
      <fill>
        <patternFill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ArchitectureReadiness" displayName="ArchitectureReadiness" ref="A5:H9" totalsRowShown="0">
  <tableColumns count="8">
    <tableColumn id="1" xr3:uid="{00000000-0010-0000-0000-000001000000}" name="Grade"/>
    <tableColumn id="2" xr3:uid="{00000000-0010-0000-0000-000002000000}" name="Total"/>
    <tableColumn id="3" xr3:uid="{00000000-0010-0000-0000-000003000000}" name="Approved"/>
    <tableColumn id="4" xr3:uid="{00000000-0010-0000-0000-000004000000}" name="Deferred"/>
    <tableColumn id="5" xr3:uid="{00000000-0010-0000-0000-000005000000}" name="In progress"/>
    <tableColumn id="6" xr3:uid="{00000000-0010-0000-0000-000006000000}" name="Resolved for Stage 9"/>
    <tableColumn id="7" xr3:uid="{00000000-0010-0000-0000-000007000000}" name="Readiness"/>
    <tableColumn id="8" xr3:uid="{00000000-0010-0000-0000-000008000000}" name="Result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NfrDecisionRegister" displayName="NfrDecisionRegister" ref="A5:W54" totalsRowShown="0">
  <autoFilter ref="A5:W54" xr:uid="{00000000-0009-0000-0100-000001000000}"/>
  <tableColumns count="23">
    <tableColumn id="1" xr3:uid="{00000000-0010-0000-0100-000001000000}" name="Grade"/>
    <tableColumn id="2" xr3:uid="{00000000-0010-0000-0100-000002000000}" name="ID"/>
    <tableColumn id="3" xr3:uid="{00000000-0010-0000-0100-000003000000}" name="Category"/>
    <tableColumn id="4" xr3:uid="{00000000-0010-0000-0100-000004000000}" name="Criterion"/>
    <tableColumn id="5" xr3:uid="{00000000-0010-0000-0100-000005000000}" name="Question / Decision Needed"/>
    <tableColumn id="6" xr3:uid="{00000000-0010-0000-0100-000006000000}" name="Impact"/>
    <tableColumn id="7" xr3:uid="{00000000-0010-0000-0100-000007000000}" name="Measurable Target / Decision"/>
    <tableColumn id="8" xr3:uid="{00000000-0010-0000-0100-000008000000}" name="Decision Basis"/>
    <tableColumn id="9" xr3:uid="{00000000-0010-0000-0100-000009000000}" name="Decision Rationale"/>
    <tableColumn id="10" xr3:uid="{00000000-0010-0000-0100-00000A000000}" name="Decision Owner"/>
    <tableColumn id="11" xr3:uid="{00000000-0010-0000-0100-00000B000000}" name="Required Participants"/>
    <tableColumn id="12" xr3:uid="{00000000-0010-0000-0100-00000C000000}" name="Approved By"/>
    <tableColumn id="13" xr3:uid="{00000000-0010-0000-0100-00000D000000}" name="Approval Date"/>
    <tableColumn id="14" xr3:uid="{00000000-0010-0000-0100-00000E000000}" name="Status"/>
    <tableColumn id="15" xr3:uid="{00000000-0010-0000-0100-00000F000000}" name="Assumption Valid Until"/>
    <tableColumn id="16" xr3:uid="{00000000-0010-0000-0100-000010000000}" name="Evidence / Supporting Facts"/>
    <tableColumn id="17" xr3:uid="{00000000-0010-0000-0100-000011000000}" name="Decision record / ADR"/>
    <tableColumn id="18" xr3:uid="{00000000-0010-0000-0100-000012000000}" name="Closure Condition"/>
    <tableColumn id="19" xr3:uid="{00000000-0010-0000-0100-000013000000}" name="Re-review Trigger"/>
    <tableColumn id="20" xr3:uid="{00000000-0010-0000-0100-000014000000}" name="Criterion Source"/>
    <tableColumn id="21" xr3:uid="{00000000-0010-0000-0100-000015000000}" name="Proposed by"/>
    <tableColumn id="22" xr3:uid="{00000000-0010-0000-0100-000016000000}" name="Proposal / Review Reference"/>
    <tableColumn id="23" xr3:uid="{00000000-0010-0000-0100-000017000000}" name="Closed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eamCapabilityRegister" displayName="TeamCapabilityRegister" ref="A7:R20" totalsRowShown="0">
  <tableColumns count="18">
    <tableColumn id="1" xr3:uid="{00000000-0010-0000-0200-000001000000}" name="ID"/>
    <tableColumn id="2" xr3:uid="{00000000-0010-0000-0200-000002000000}" name="Capability domain"/>
    <tableColumn id="3" xr3:uid="{00000000-0010-0000-0200-000003000000}" name="Team / Available People"/>
    <tableColumn id="4" xr3:uid="{00000000-0010-0000-0200-000004000000}" name="Current Technologies and Experience"/>
    <tableColumn id="5" xr3:uid="{00000000-0010-0000-0200-000005000000}" name="Current Level"/>
    <tableColumn id="6" xr3:uid="{00000000-0010-0000-0200-000006000000}" name="Production evidence"/>
    <tableColumn id="7" xr3:uid="{00000000-0010-0000-0200-000007000000}" name="Available Capacity, FTE"/>
    <tableColumn id="8" xr3:uid="{00000000-0010-0000-0200-000008000000}" name="Bus factor"/>
    <tableColumn id="9" xr3:uid="{00000000-0010-0000-0200-000009000000}" name="Required Capability"/>
    <tableColumn id="10" xr3:uid="{00000000-0010-0000-0200-00000A000000}" name="Selected Technology / Approach"/>
    <tableColumn id="11" xr3:uid="{00000000-0010-0000-0200-00000B000000}" name="Required Level"/>
    <tableColumn id="12" xr3:uid="{00000000-0010-0000-0200-00000C000000}" name="Gap"/>
    <tableColumn id="13" xr3:uid="{00000000-0010-0000-0200-00000D000000}" name="Gap Closure Plan"/>
    <tableColumn id="14" xr3:uid="{00000000-0010-0000-0200-00000E000000}" name="Capability owner"/>
    <tableColumn id="15" xr3:uid="{00000000-0010-0000-0200-00000F000000}" name="Due Date"/>
    <tableColumn id="16" xr3:uid="{00000000-0010-0000-0200-000010000000}" name="Status"/>
    <tableColumn id="17" xr3:uid="{00000000-0010-0000-0200-000011000000}" name="Evidence / Notes"/>
    <tableColumn id="18" xr3:uid="{00000000-0010-0000-0200-000012000000}" name="Related Decision / TECH-ID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echnologyDecisionRegister" displayName="TechnologyDecisionRegister" ref="A6:U7" totalsRowShown="0">
  <tableColumns count="21">
    <tableColumn id="1" xr3:uid="{00000000-0010-0000-0300-000001000000}" name="ID"/>
    <tableColumn id="2" xr3:uid="{00000000-0010-0000-0300-000002000000}" name="Priority"/>
    <tableColumn id="3" xr3:uid="{00000000-0010-0000-0300-000003000000}" name="Category"/>
    <tableColumn id="4" xr3:uid="{00000000-0010-0000-0300-000004000000}" name="Architecture Decision"/>
    <tableColumn id="5" xr3:uid="{00000000-0010-0000-0300-000005000000}" name="Technology / Approach"/>
    <tableColumn id="6" xr3:uid="{00000000-0010-0000-0300-000006000000}" name="Version / Baseline"/>
    <tableColumn id="7" xr3:uid="{00000000-0010-0000-0300-000007000000}" name="Purpose and Boundaries"/>
    <tableColumn id="8" xr3:uid="{00000000-0010-0000-0300-000008000000}" name="Status"/>
    <tableColumn id="9" xr3:uid="{00000000-0010-0000-0300-000009000000}" name="Decision Basis"/>
    <tableColumn id="10" xr3:uid="{00000000-0010-0000-0300-00000A000000}" name="Rationale"/>
    <tableColumn id="11" xr3:uid="{00000000-0010-0000-0300-00000B000000}" name="Alternatives / Deferred"/>
    <tableColumn id="12" xr3:uid="{00000000-0010-0000-0300-00000C000000}" name="Decision Owner"/>
    <tableColumn id="13" xr3:uid="{00000000-0010-0000-0300-00000D000000}" name="Required Participants"/>
    <tableColumn id="14" xr3:uid="{00000000-0010-0000-0300-00000E000000}" name="Approved By"/>
    <tableColumn id="15" xr3:uid="{00000000-0010-0000-0300-00000F000000}" name="Approval Date"/>
    <tableColumn id="16" xr3:uid="{00000000-0010-0000-0300-000010000000}" name="Evidence / Supporting Facts"/>
    <tableColumn id="17" xr3:uid="{00000000-0010-0000-0300-000011000000}" name="ADR / architecture reference"/>
    <tableColumn id="18" xr3:uid="{00000000-0010-0000-0300-000012000000}" name="Review Trigger"/>
    <tableColumn id="19" xr3:uid="{00000000-0010-0000-0300-000013000000}" name="Proposed by"/>
    <tableColumn id="20" xr3:uid="{00000000-0010-0000-0300-000014000000}" name="Proposal / Review Reference"/>
    <tableColumn id="21" xr3:uid="{00000000-0010-0000-0300-000015000000}" name="Note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showGridLines="0" tabSelected="1" workbookViewId="0">
      <selection sqref="A1:H1"/>
    </sheetView>
  </sheetViews>
  <sheetFormatPr defaultRowHeight="14.25"/>
  <cols>
    <col min="1" max="1" width="12.5" customWidth="1"/>
    <col min="2" max="3" width="15" customWidth="1"/>
    <col min="4" max="4" width="18.75" customWidth="1"/>
    <col min="5" max="5" width="14.375" customWidth="1"/>
    <col min="6" max="6" width="16.875" customWidth="1"/>
    <col min="7" max="7" width="15.625" customWidth="1"/>
    <col min="8" max="8" width="22.5" customWidth="1"/>
  </cols>
  <sheetData>
    <row r="1" spans="1:11" ht="32.1" customHeight="1">
      <c r="A1" s="118" t="s">
        <v>387</v>
      </c>
      <c r="B1" s="118"/>
      <c r="C1" s="118"/>
      <c r="D1" s="118"/>
      <c r="E1" s="118"/>
      <c r="F1" s="118"/>
      <c r="G1" s="118"/>
      <c r="H1" s="118"/>
    </row>
    <row r="2" spans="1:11" ht="24" customHeight="1">
      <c r="A2" s="119" t="s">
        <v>388</v>
      </c>
      <c r="B2" s="119"/>
      <c r="C2" s="119"/>
      <c r="D2" s="119"/>
      <c r="E2" s="119"/>
      <c r="F2" s="119"/>
      <c r="G2" s="119"/>
      <c r="H2" s="119"/>
      <c r="K2" s="46"/>
    </row>
    <row r="3" spans="1:11">
      <c r="K3" s="46"/>
    </row>
    <row r="4" spans="1:11" ht="27.95" customHeight="1">
      <c r="A4" s="118" t="s">
        <v>389</v>
      </c>
      <c r="B4" s="118"/>
      <c r="C4" s="118"/>
      <c r="D4" s="118"/>
      <c r="E4" s="118"/>
      <c r="F4" s="118"/>
      <c r="G4" s="118"/>
      <c r="H4" s="118"/>
      <c r="K4" s="46"/>
    </row>
    <row r="5" spans="1:11" ht="36" customHeight="1">
      <c r="A5" s="15" t="s">
        <v>390</v>
      </c>
      <c r="B5" s="15" t="s">
        <v>307</v>
      </c>
      <c r="C5" s="15" t="s">
        <v>391</v>
      </c>
      <c r="D5" s="15" t="s">
        <v>392</v>
      </c>
      <c r="E5" s="15" t="s">
        <v>393</v>
      </c>
      <c r="F5" s="15" t="s">
        <v>394</v>
      </c>
      <c r="G5" s="15" t="s">
        <v>177</v>
      </c>
      <c r="H5" s="15" t="s">
        <v>178</v>
      </c>
      <c r="K5" s="46"/>
    </row>
    <row r="6" spans="1:11" ht="27.95" customHeight="1">
      <c r="A6" s="38" t="s">
        <v>0</v>
      </c>
      <c r="B6" s="38">
        <f>COUNTIF('NFR Register'!$A$6:$A$205,A6)</f>
        <v>16</v>
      </c>
      <c r="C6" s="39">
        <f>COUNTIFS('NFR Register'!$A$6:$A$205,A6,'NFR Register'!$N$6:$N$205,"Approved",'NFR Register'!$W$6:$W$205,"Yes")</f>
        <v>0</v>
      </c>
      <c r="D6" s="40">
        <f>COUNTIFS('NFR Register'!$A$6:$A$205,A6,'NFR Register'!$N$6:$N$205,"Deferred",'NFR Register'!$W$6:$W$205,"Yes")</f>
        <v>0</v>
      </c>
      <c r="E6" s="41">
        <f>B6-C6-D6</f>
        <v>16</v>
      </c>
      <c r="F6" s="42">
        <f>C6+D6</f>
        <v>0</v>
      </c>
      <c r="G6" s="43">
        <f>IFERROR(F6/B6,0)</f>
        <v>0</v>
      </c>
      <c r="H6" s="38" t="str">
        <f>IF(G6=1,"Ready",IF(A6="A","Blocking Stage 9","Continue the survey"))</f>
        <v>Blocking Stage 9</v>
      </c>
    </row>
    <row r="7" spans="1:11" ht="27.95" customHeight="1">
      <c r="A7" s="38" t="s">
        <v>1</v>
      </c>
      <c r="B7" s="38">
        <f>COUNTIF('NFR Register'!$A$6:$A$205,A7)</f>
        <v>22</v>
      </c>
      <c r="C7" s="39">
        <f>COUNTIFS('NFR Register'!$A$6:$A$205,A7,'NFR Register'!$N$6:$N$205,"Approved",'NFR Register'!$W$6:$W$205,"Yes")</f>
        <v>0</v>
      </c>
      <c r="D7" s="40">
        <f>COUNTIFS('NFR Register'!$A$6:$A$205,A7,'NFR Register'!$N$6:$N$205,"Deferred",'NFR Register'!$W$6:$W$205,"Yes")</f>
        <v>0</v>
      </c>
      <c r="E7" s="41">
        <f>B7-C7-D7</f>
        <v>22</v>
      </c>
      <c r="F7" s="42">
        <f>C7+D7</f>
        <v>0</v>
      </c>
      <c r="G7" s="43">
        <f>IFERROR(F7/B7,0)</f>
        <v>0</v>
      </c>
      <c r="H7" s="38" t="str">
        <f>IF(G7=1,"Ready",IF(A7="A","Blocking Stage 9","Continue the survey"))</f>
        <v>Continue the survey</v>
      </c>
    </row>
    <row r="8" spans="1:11" ht="27.95" customHeight="1">
      <c r="A8" s="38" t="s">
        <v>2</v>
      </c>
      <c r="B8" s="38">
        <f>COUNTIF('NFR Register'!$A$6:$A$205,A8)</f>
        <v>11</v>
      </c>
      <c r="C8" s="39">
        <f>COUNTIFS('NFR Register'!$A$6:$A$205,A8,'NFR Register'!$N$6:$N$205,"Approved",'NFR Register'!$W$6:$W$205,"Yes")</f>
        <v>0</v>
      </c>
      <c r="D8" s="40">
        <f>COUNTIFS('NFR Register'!$A$6:$A$205,A8,'NFR Register'!$N$6:$N$205,"Deferred",'NFR Register'!$W$6:$W$205,"Yes")</f>
        <v>0</v>
      </c>
      <c r="E8" s="41">
        <f>B8-C8-D8</f>
        <v>11</v>
      </c>
      <c r="F8" s="42">
        <f>C8+D8</f>
        <v>0</v>
      </c>
      <c r="G8" s="43">
        <f>IFERROR(F8/B8,0)</f>
        <v>0</v>
      </c>
      <c r="H8" s="38" t="str">
        <f>IF(G8=1,"Ready",IF(A8="A","Blocking Stage 9","Continue the survey"))</f>
        <v>Continue the survey</v>
      </c>
    </row>
    <row r="9" spans="1:11" ht="27.95" customHeight="1">
      <c r="A9" s="44" t="s">
        <v>307</v>
      </c>
      <c r="B9" s="44">
        <f>SUM(B6:B8)</f>
        <v>49</v>
      </c>
      <c r="C9" s="44">
        <f>SUM(C6:C8)</f>
        <v>0</v>
      </c>
      <c r="D9" s="44">
        <f>SUM(D6:D8)</f>
        <v>0</v>
      </c>
      <c r="E9" s="44">
        <f>SUM(E6:E8)</f>
        <v>49</v>
      </c>
      <c r="F9" s="44">
        <f>SUM(F6:F8)</f>
        <v>0</v>
      </c>
      <c r="G9" s="45">
        <f>IFERROR(F9/B9,0)</f>
        <v>0</v>
      </c>
      <c r="H9" s="44" t="str">
        <f>IF(G6=1,IF(G9=1,"Ready","Grade A is ready."),"Stage 9 is open")</f>
        <v>Stage 9 is open</v>
      </c>
    </row>
    <row r="11" spans="1:11" ht="15">
      <c r="A11" s="118" t="s">
        <v>395</v>
      </c>
      <c r="B11" s="118"/>
      <c r="C11" s="118"/>
      <c r="D11" s="118"/>
      <c r="E11" s="120" t="s">
        <v>396</v>
      </c>
      <c r="F11" s="120"/>
      <c r="G11" s="120"/>
      <c r="H11" s="120"/>
    </row>
    <row r="12" spans="1:11" ht="33.950000000000003" customHeight="1">
      <c r="A12" s="116" t="s">
        <v>397</v>
      </c>
      <c r="B12" s="116"/>
      <c r="C12" s="116"/>
      <c r="D12" s="116"/>
      <c r="E12" s="117" t="s">
        <v>398</v>
      </c>
      <c r="F12" s="117"/>
      <c r="G12" s="117"/>
      <c r="H12" s="117"/>
    </row>
    <row r="13" spans="1:11" ht="33.950000000000003" customHeight="1">
      <c r="A13" s="116" t="s">
        <v>399</v>
      </c>
      <c r="B13" s="116"/>
      <c r="C13" s="116"/>
      <c r="D13" s="116"/>
      <c r="E13" s="117"/>
      <c r="F13" s="117"/>
      <c r="G13" s="117"/>
      <c r="H13" s="117"/>
    </row>
    <row r="14" spans="1:11" ht="27.95" customHeight="1">
      <c r="A14" s="116" t="s">
        <v>400</v>
      </c>
      <c r="B14" s="116"/>
      <c r="C14" s="116"/>
      <c r="D14" s="116"/>
      <c r="E14" s="117"/>
      <c r="F14" s="117"/>
      <c r="G14" s="117"/>
      <c r="H14" s="117"/>
    </row>
    <row r="17" spans="1:8" ht="16.5">
      <c r="A17" s="114" t="s">
        <v>401</v>
      </c>
      <c r="B17" s="114"/>
      <c r="C17" s="114"/>
      <c r="D17" s="114"/>
      <c r="E17" s="114"/>
      <c r="F17" s="114"/>
      <c r="G17" s="114"/>
      <c r="H17" s="114"/>
    </row>
    <row r="18" spans="1:8" ht="15">
      <c r="A18" s="103" t="s">
        <v>402</v>
      </c>
      <c r="B18" s="115" t="s">
        <v>403</v>
      </c>
      <c r="C18" s="115"/>
      <c r="D18" s="115" t="s">
        <v>404</v>
      </c>
      <c r="E18" s="115"/>
      <c r="F18" s="115"/>
      <c r="G18" s="115"/>
      <c r="H18" s="115"/>
    </row>
    <row r="19" spans="1:8" ht="33.950000000000003" customHeight="1">
      <c r="A19" s="107" t="s">
        <v>348</v>
      </c>
      <c r="B19" s="112" t="s">
        <v>405</v>
      </c>
      <c r="C19" s="113"/>
      <c r="D19" s="113" t="s">
        <v>406</v>
      </c>
      <c r="E19" s="113"/>
      <c r="F19" s="113"/>
      <c r="G19" s="113"/>
      <c r="H19" s="113"/>
    </row>
    <row r="20" spans="1:8" ht="33.950000000000003" customHeight="1">
      <c r="A20" s="108" t="s">
        <v>349</v>
      </c>
      <c r="B20" s="110" t="s">
        <v>350</v>
      </c>
      <c r="C20" s="111"/>
      <c r="D20" s="111" t="s">
        <v>407</v>
      </c>
      <c r="E20" s="111"/>
      <c r="F20" s="111"/>
      <c r="G20" s="111"/>
      <c r="H20" s="111"/>
    </row>
    <row r="21" spans="1:8" ht="33.950000000000003" customHeight="1">
      <c r="A21" s="107" t="s">
        <v>351</v>
      </c>
      <c r="B21" s="112" t="s">
        <v>352</v>
      </c>
      <c r="C21" s="113"/>
      <c r="D21" s="113" t="s">
        <v>408</v>
      </c>
      <c r="E21" s="113"/>
      <c r="F21" s="113"/>
      <c r="G21" s="113"/>
      <c r="H21" s="113"/>
    </row>
    <row r="22" spans="1:8" ht="33.950000000000003" customHeight="1">
      <c r="A22" s="108" t="s">
        <v>353</v>
      </c>
      <c r="B22" s="110" t="s">
        <v>354</v>
      </c>
      <c r="C22" s="111"/>
      <c r="D22" s="111" t="s">
        <v>409</v>
      </c>
      <c r="E22" s="111"/>
      <c r="F22" s="111"/>
      <c r="G22" s="111"/>
      <c r="H22" s="111"/>
    </row>
    <row r="23" spans="1:8" ht="33.950000000000003" customHeight="1">
      <c r="A23" s="107" t="s">
        <v>355</v>
      </c>
      <c r="B23" s="112" t="s">
        <v>356</v>
      </c>
      <c r="C23" s="113"/>
      <c r="D23" s="113" t="s">
        <v>410</v>
      </c>
      <c r="E23" s="113"/>
      <c r="F23" s="113"/>
      <c r="G23" s="113"/>
      <c r="H23" s="113"/>
    </row>
    <row r="24" spans="1:8" ht="33.950000000000003" customHeight="1">
      <c r="A24" s="108" t="s">
        <v>357</v>
      </c>
      <c r="B24" s="110" t="s">
        <v>358</v>
      </c>
      <c r="C24" s="111"/>
      <c r="D24" s="111" t="s">
        <v>411</v>
      </c>
      <c r="E24" s="111"/>
      <c r="F24" s="111"/>
      <c r="G24" s="111"/>
      <c r="H24" s="111"/>
    </row>
    <row r="25" spans="1:8" ht="33.950000000000003" customHeight="1">
      <c r="A25" s="107" t="s">
        <v>359</v>
      </c>
      <c r="B25" s="112" t="s">
        <v>360</v>
      </c>
      <c r="C25" s="113"/>
      <c r="D25" s="113" t="s">
        <v>412</v>
      </c>
      <c r="E25" s="113"/>
      <c r="F25" s="113"/>
      <c r="G25" s="113"/>
      <c r="H25" s="113"/>
    </row>
    <row r="26" spans="1:8" ht="33.950000000000003" customHeight="1">
      <c r="A26" s="108" t="s">
        <v>361</v>
      </c>
      <c r="B26" s="110" t="s">
        <v>362</v>
      </c>
      <c r="C26" s="111"/>
      <c r="D26" s="111" t="s">
        <v>413</v>
      </c>
      <c r="E26" s="111"/>
      <c r="F26" s="111"/>
      <c r="G26" s="111"/>
      <c r="H26" s="111"/>
    </row>
    <row r="27" spans="1:8" ht="33.950000000000003" customHeight="1">
      <c r="A27" s="107" t="s">
        <v>363</v>
      </c>
      <c r="B27" s="112" t="s">
        <v>414</v>
      </c>
      <c r="C27" s="113"/>
      <c r="D27" s="113" t="s">
        <v>415</v>
      </c>
      <c r="E27" s="113"/>
      <c r="F27" s="113"/>
      <c r="G27" s="113"/>
      <c r="H27" s="113"/>
    </row>
    <row r="28" spans="1:8" ht="33.950000000000003" customHeight="1">
      <c r="A28" s="108"/>
      <c r="B28" s="110"/>
      <c r="C28" s="111"/>
      <c r="D28" s="111"/>
      <c r="E28" s="111"/>
      <c r="F28" s="111"/>
      <c r="G28" s="111"/>
      <c r="H28" s="111"/>
    </row>
  </sheetData>
  <mergeCells count="32">
    <mergeCell ref="A12:D12"/>
    <mergeCell ref="A13:D13"/>
    <mergeCell ref="A14:D14"/>
    <mergeCell ref="E12:H14"/>
    <mergeCell ref="A1:H1"/>
    <mergeCell ref="A2:H2"/>
    <mergeCell ref="A4:H4"/>
    <mergeCell ref="A11:D11"/>
    <mergeCell ref="E11:H11"/>
    <mergeCell ref="A17:H17"/>
    <mergeCell ref="B18:C18"/>
    <mergeCell ref="D18:H18"/>
    <mergeCell ref="B19:C19"/>
    <mergeCell ref="D19:H19"/>
    <mergeCell ref="B20:C20"/>
    <mergeCell ref="D20:H20"/>
    <mergeCell ref="B21:C21"/>
    <mergeCell ref="D21:H21"/>
    <mergeCell ref="B22:C22"/>
    <mergeCell ref="D22:H22"/>
    <mergeCell ref="B23:C23"/>
    <mergeCell ref="D23:H23"/>
    <mergeCell ref="B24:C24"/>
    <mergeCell ref="D24:H24"/>
    <mergeCell ref="B25:C25"/>
    <mergeCell ref="D25:H25"/>
    <mergeCell ref="B26:C26"/>
    <mergeCell ref="D26:H26"/>
    <mergeCell ref="B27:C27"/>
    <mergeCell ref="D27:H27"/>
    <mergeCell ref="B28:C28"/>
    <mergeCell ref="D28:H28"/>
  </mergeCells>
  <conditionalFormatting sqref="G6:G9">
    <cfRule type="dataBar" priority="1">
      <dataBar>
        <cfvo type="min"/>
        <cfvo type="max"/>
        <color rgb="FF2D8A57"/>
      </dataBar>
    </cfRule>
  </conditionalFormatting>
  <conditionalFormatting sqref="G6:G9">
    <cfRule type="dataBar" priority="2">
      <dataBar>
        <cfvo type="min"/>
        <cfvo type="max"/>
        <color rgb="FF2D8A57"/>
      </dataBar>
    </cfRule>
  </conditionalFormatting>
  <conditionalFormatting sqref="G6:G9">
    <cfRule type="dataBar" priority="3">
      <dataBar>
        <cfvo type="min"/>
        <cfvo type="max"/>
        <color rgb="FF2D8A57"/>
      </dataBar>
    </cfRule>
  </conditionalFormatting>
  <conditionalFormatting sqref="G6:G9">
    <cfRule type="dataBar" priority="4">
      <dataBar>
        <cfvo type="min"/>
        <cfvo type="max"/>
        <color rgb="FF2D8A57"/>
      </dataBar>
      <extLst>
        <ext xmlns:x14="http://schemas.microsoft.com/office/spreadsheetml/2009/9/main" uri="{B025F937-C7B1-47D3-B67F-A62EFF666E3E}">
          <x14:id>{0CC8FFFF-0E58-4088-C54E-B016E405B214}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C8FFFF-0E58-4088-C54E-B016E405B214}">
            <x14:dataBar>
              <x14:cfvo type="min"/>
              <x14:cfvo type="max"/>
              <x14:negativeFillColor auto="1"/>
              <x14:axisColor auto="1"/>
            </x14:dataBar>
          </x14:cfRule>
          <xm:sqref>G6:G9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6"/>
  <sheetViews>
    <sheetView showGridLines="0" workbookViewId="0"/>
  </sheetViews>
  <sheetFormatPr defaultRowHeight="14.25"/>
  <cols>
    <col min="1" max="1" width="12" customWidth="1"/>
    <col min="2" max="2" width="25" customWidth="1"/>
    <col min="3" max="3" width="45" customWidth="1"/>
    <col min="4" max="4" width="40" customWidth="1"/>
    <col min="5" max="5" width="19" customWidth="1"/>
    <col min="6" max="6" width="15" customWidth="1"/>
    <col min="7" max="8" width="16" customWidth="1"/>
    <col min="9" max="9" width="38" customWidth="1"/>
    <col min="10" max="11" width="34" customWidth="1"/>
    <col min="12" max="12" width="42" customWidth="1"/>
    <col min="13" max="13" width="32" customWidth="1"/>
    <col min="14" max="14" width="20" customWidth="1"/>
    <col min="15" max="15" width="36" customWidth="1"/>
    <col min="16" max="16" width="18" customWidth="1"/>
    <col min="17" max="17" width="20" customWidth="1"/>
    <col min="18" max="18" width="22" customWidth="1"/>
    <col min="19" max="19" width="34" customWidth="1"/>
  </cols>
  <sheetData>
    <row r="1" spans="1:19" ht="32.1" customHeight="1">
      <c r="A1" s="123" t="s">
        <v>3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</row>
    <row r="2" spans="1:19" ht="33.950000000000003" customHeight="1">
      <c r="A2" s="124" t="s">
        <v>416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</row>
    <row r="3" spans="1:19" ht="33.950000000000003" customHeight="1">
      <c r="A3" s="125" t="s">
        <v>417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</row>
    <row r="4" spans="1:19" ht="27.95" customHeight="1">
      <c r="A4" s="121" t="s">
        <v>418</v>
      </c>
      <c r="B4" s="121"/>
      <c r="C4" s="121" t="s">
        <v>419</v>
      </c>
      <c r="D4" s="121"/>
      <c r="E4" s="121" t="s">
        <v>420</v>
      </c>
      <c r="F4" s="121"/>
      <c r="G4" s="121" t="s">
        <v>421</v>
      </c>
      <c r="H4" s="121"/>
      <c r="I4" s="121" t="s">
        <v>422</v>
      </c>
      <c r="J4" s="121"/>
      <c r="K4" s="121" t="s">
        <v>177</v>
      </c>
      <c r="L4" s="121"/>
      <c r="M4" s="121" t="s">
        <v>423</v>
      </c>
      <c r="N4" s="121"/>
      <c r="O4" s="121"/>
      <c r="P4" s="121"/>
      <c r="Q4" s="121"/>
      <c r="R4" s="121"/>
      <c r="S4" s="121"/>
    </row>
    <row r="5" spans="1:19" ht="26.1" customHeight="1">
      <c r="A5" s="122">
        <f>COUNTA(A8:A26)</f>
        <v>19</v>
      </c>
      <c r="B5" s="122"/>
      <c r="C5" s="122">
        <f>COUNTIF(F8:F26,"Required")</f>
        <v>17</v>
      </c>
      <c r="D5" s="122"/>
      <c r="E5" s="122">
        <f>COUNTIF(G8:G26,"Required")</f>
        <v>12</v>
      </c>
      <c r="F5" s="122"/>
      <c r="G5" s="122">
        <f>COUNTIF(H8:H26,"Required")</f>
        <v>12</v>
      </c>
      <c r="H5" s="122"/>
      <c r="I5" s="122">
        <f>COUNTIF(N8:N26,"Completed")</f>
        <v>0</v>
      </c>
      <c r="J5" s="122"/>
      <c r="K5" s="126">
        <f>IF(A5=0,0,I5/A5)</f>
        <v>0</v>
      </c>
      <c r="L5" s="126"/>
      <c r="M5" s="122" t="s">
        <v>424</v>
      </c>
      <c r="N5" s="122"/>
      <c r="O5" s="122"/>
      <c r="P5" s="122"/>
      <c r="Q5" s="122"/>
      <c r="R5" s="122"/>
      <c r="S5" s="122"/>
    </row>
    <row r="6" spans="1:19" ht="45.95" customHeight="1">
      <c r="A6" s="57" t="s">
        <v>312</v>
      </c>
      <c r="B6" s="57" t="s">
        <v>5</v>
      </c>
      <c r="C6" s="57" t="s">
        <v>425</v>
      </c>
      <c r="D6" s="57" t="s">
        <v>426</v>
      </c>
      <c r="E6" s="57" t="s">
        <v>427</v>
      </c>
      <c r="F6" s="57" t="s">
        <v>428</v>
      </c>
      <c r="G6" s="57" t="s">
        <v>429</v>
      </c>
      <c r="H6" s="57" t="s">
        <v>430</v>
      </c>
      <c r="I6" s="57" t="s">
        <v>431</v>
      </c>
      <c r="J6" s="57" t="s">
        <v>432</v>
      </c>
      <c r="K6" s="57" t="s">
        <v>433</v>
      </c>
      <c r="L6" s="57" t="s">
        <v>434</v>
      </c>
      <c r="M6" s="57" t="s">
        <v>435</v>
      </c>
      <c r="N6" s="57" t="s">
        <v>436</v>
      </c>
      <c r="O6" s="57" t="s">
        <v>437</v>
      </c>
      <c r="P6" s="57" t="s">
        <v>438</v>
      </c>
      <c r="Q6" s="57" t="s">
        <v>439</v>
      </c>
      <c r="R6" s="57" t="s">
        <v>440</v>
      </c>
      <c r="S6" s="57" t="s">
        <v>441</v>
      </c>
    </row>
    <row r="7" spans="1:19" ht="33.950000000000003" customHeight="1">
      <c r="A7" s="58" t="s">
        <v>4</v>
      </c>
      <c r="B7" s="58" t="s">
        <v>5</v>
      </c>
      <c r="C7" s="58" t="s">
        <v>442</v>
      </c>
      <c r="D7" s="58" t="s">
        <v>443</v>
      </c>
      <c r="E7" s="58" t="s">
        <v>6</v>
      </c>
      <c r="F7" s="58" t="s">
        <v>7</v>
      </c>
      <c r="G7" s="58" t="s">
        <v>8</v>
      </c>
      <c r="H7" s="58" t="s">
        <v>9</v>
      </c>
      <c r="I7" s="58" t="s">
        <v>10</v>
      </c>
      <c r="J7" s="58" t="s">
        <v>11</v>
      </c>
      <c r="K7" s="58" t="s">
        <v>12</v>
      </c>
      <c r="L7" s="58" t="s">
        <v>13</v>
      </c>
      <c r="M7" s="58" t="s">
        <v>14</v>
      </c>
      <c r="N7" s="58" t="s">
        <v>15</v>
      </c>
      <c r="O7" s="58" t="s">
        <v>16</v>
      </c>
      <c r="P7" s="58" t="s">
        <v>17</v>
      </c>
      <c r="Q7" s="58" t="s">
        <v>18</v>
      </c>
      <c r="R7" s="58" t="s">
        <v>19</v>
      </c>
      <c r="S7" s="58" t="s">
        <v>20</v>
      </c>
    </row>
    <row r="8" spans="1:19" ht="69.95" customHeight="1">
      <c r="A8" s="59" t="s">
        <v>21</v>
      </c>
      <c r="B8" s="59" t="s">
        <v>444</v>
      </c>
      <c r="C8" s="59" t="s">
        <v>445</v>
      </c>
      <c r="D8" s="59" t="s">
        <v>446</v>
      </c>
      <c r="E8" s="59" t="s">
        <v>447</v>
      </c>
      <c r="F8" s="59" t="s">
        <v>447</v>
      </c>
      <c r="G8" s="59" t="s">
        <v>448</v>
      </c>
      <c r="H8" s="59" t="s">
        <v>448</v>
      </c>
      <c r="I8" s="61"/>
      <c r="J8" s="61"/>
      <c r="K8" s="61"/>
      <c r="L8" s="61"/>
      <c r="M8" s="61" t="s">
        <v>449</v>
      </c>
      <c r="N8" s="62" t="s">
        <v>450</v>
      </c>
      <c r="O8" s="59"/>
      <c r="P8" s="59" t="s">
        <v>22</v>
      </c>
      <c r="Q8" s="63"/>
      <c r="R8" s="63"/>
      <c r="S8" s="59" t="s">
        <v>451</v>
      </c>
    </row>
    <row r="9" spans="1:19" ht="69.95" customHeight="1">
      <c r="A9" s="60" t="s">
        <v>23</v>
      </c>
      <c r="B9" s="60" t="s">
        <v>452</v>
      </c>
      <c r="C9" s="60" t="s">
        <v>453</v>
      </c>
      <c r="D9" s="60" t="s">
        <v>454</v>
      </c>
      <c r="E9" s="60" t="s">
        <v>447</v>
      </c>
      <c r="F9" s="60" t="s">
        <v>447</v>
      </c>
      <c r="G9" s="60" t="s">
        <v>447</v>
      </c>
      <c r="H9" s="60" t="s">
        <v>448</v>
      </c>
      <c r="I9" s="61"/>
      <c r="J9" s="61"/>
      <c r="K9" s="61"/>
      <c r="L9" s="61"/>
      <c r="M9" s="61" t="s">
        <v>449</v>
      </c>
      <c r="N9" s="62" t="s">
        <v>450</v>
      </c>
      <c r="O9" s="60"/>
      <c r="P9" s="60" t="s">
        <v>24</v>
      </c>
      <c r="Q9" s="63"/>
      <c r="R9" s="63"/>
      <c r="S9" s="60"/>
    </row>
    <row r="10" spans="1:19" ht="69.95" customHeight="1">
      <c r="A10" s="59" t="s">
        <v>25</v>
      </c>
      <c r="B10" s="59" t="s">
        <v>236</v>
      </c>
      <c r="C10" s="59" t="s">
        <v>455</v>
      </c>
      <c r="D10" s="59" t="s">
        <v>456</v>
      </c>
      <c r="E10" s="59" t="s">
        <v>447</v>
      </c>
      <c r="F10" s="59" t="s">
        <v>447</v>
      </c>
      <c r="G10" s="59" t="s">
        <v>447</v>
      </c>
      <c r="H10" s="59" t="s">
        <v>447</v>
      </c>
      <c r="I10" s="61"/>
      <c r="J10" s="61"/>
      <c r="K10" s="61"/>
      <c r="L10" s="61"/>
      <c r="M10" s="61" t="s">
        <v>449</v>
      </c>
      <c r="N10" s="62" t="s">
        <v>450</v>
      </c>
      <c r="O10" s="59"/>
      <c r="P10" s="59" t="s">
        <v>26</v>
      </c>
      <c r="Q10" s="63"/>
      <c r="R10" s="63"/>
      <c r="S10" s="59"/>
    </row>
    <row r="11" spans="1:19" ht="69.95" customHeight="1">
      <c r="A11" s="60" t="s">
        <v>27</v>
      </c>
      <c r="B11" s="60" t="s">
        <v>457</v>
      </c>
      <c r="C11" s="60" t="s">
        <v>458</v>
      </c>
      <c r="D11" s="60" t="s">
        <v>459</v>
      </c>
      <c r="E11" s="60" t="s">
        <v>447</v>
      </c>
      <c r="F11" s="60" t="s">
        <v>447</v>
      </c>
      <c r="G11" s="60" t="s">
        <v>447</v>
      </c>
      <c r="H11" s="60" t="s">
        <v>447</v>
      </c>
      <c r="I11" s="61"/>
      <c r="J11" s="61"/>
      <c r="K11" s="61"/>
      <c r="L11" s="61"/>
      <c r="M11" s="61" t="s">
        <v>449</v>
      </c>
      <c r="N11" s="62" t="s">
        <v>450</v>
      </c>
      <c r="O11" s="60"/>
      <c r="P11" s="60" t="s">
        <v>28</v>
      </c>
      <c r="Q11" s="63"/>
      <c r="R11" s="63"/>
      <c r="S11" s="60" t="s">
        <v>460</v>
      </c>
    </row>
    <row r="12" spans="1:19" ht="69.95" customHeight="1">
      <c r="A12" s="59" t="s">
        <v>29</v>
      </c>
      <c r="B12" s="59" t="s">
        <v>461</v>
      </c>
      <c r="C12" s="59" t="s">
        <v>462</v>
      </c>
      <c r="D12" s="59" t="s">
        <v>463</v>
      </c>
      <c r="E12" s="59" t="s">
        <v>447</v>
      </c>
      <c r="F12" s="59" t="s">
        <v>447</v>
      </c>
      <c r="G12" s="59" t="s">
        <v>447</v>
      </c>
      <c r="H12" s="59" t="s">
        <v>447</v>
      </c>
      <c r="I12" s="61"/>
      <c r="J12" s="61"/>
      <c r="K12" s="61"/>
      <c r="L12" s="61"/>
      <c r="M12" s="61" t="s">
        <v>449</v>
      </c>
      <c r="N12" s="62" t="s">
        <v>450</v>
      </c>
      <c r="O12" s="59"/>
      <c r="P12" s="59" t="s">
        <v>30</v>
      </c>
      <c r="Q12" s="63"/>
      <c r="R12" s="63"/>
      <c r="S12" s="59"/>
    </row>
    <row r="13" spans="1:19" ht="69.95" customHeight="1">
      <c r="A13" s="60" t="s">
        <v>31</v>
      </c>
      <c r="B13" s="60" t="s">
        <v>464</v>
      </c>
      <c r="C13" s="60" t="s">
        <v>465</v>
      </c>
      <c r="D13" s="60" t="s">
        <v>466</v>
      </c>
      <c r="E13" s="60" t="s">
        <v>467</v>
      </c>
      <c r="F13" s="60" t="s">
        <v>447</v>
      </c>
      <c r="G13" s="60" t="s">
        <v>448</v>
      </c>
      <c r="H13" s="60" t="s">
        <v>447</v>
      </c>
      <c r="I13" s="61"/>
      <c r="J13" s="61"/>
      <c r="K13" s="61"/>
      <c r="L13" s="61"/>
      <c r="M13" s="61" t="s">
        <v>468</v>
      </c>
      <c r="N13" s="62" t="s">
        <v>450</v>
      </c>
      <c r="O13" s="60"/>
      <c r="P13" s="60" t="s">
        <v>32</v>
      </c>
      <c r="Q13" s="63"/>
      <c r="R13" s="63"/>
      <c r="S13" s="60" t="s">
        <v>469</v>
      </c>
    </row>
    <row r="14" spans="1:19" ht="69.95" customHeight="1">
      <c r="A14" s="59" t="s">
        <v>33</v>
      </c>
      <c r="B14" s="59" t="s">
        <v>470</v>
      </c>
      <c r="C14" s="59" t="s">
        <v>471</v>
      </c>
      <c r="D14" s="59" t="s">
        <v>472</v>
      </c>
      <c r="E14" s="59" t="s">
        <v>447</v>
      </c>
      <c r="F14" s="59" t="s">
        <v>447</v>
      </c>
      <c r="G14" s="59" t="s">
        <v>447</v>
      </c>
      <c r="H14" s="59" t="s">
        <v>447</v>
      </c>
      <c r="I14" s="61"/>
      <c r="J14" s="61"/>
      <c r="K14" s="61"/>
      <c r="L14" s="61"/>
      <c r="M14" s="61" t="s">
        <v>449</v>
      </c>
      <c r="N14" s="62" t="s">
        <v>450</v>
      </c>
      <c r="O14" s="59"/>
      <c r="P14" s="59" t="s">
        <v>34</v>
      </c>
      <c r="Q14" s="63"/>
      <c r="R14" s="63"/>
      <c r="S14" s="59" t="s">
        <v>473</v>
      </c>
    </row>
    <row r="15" spans="1:19" ht="69.95" customHeight="1">
      <c r="A15" s="60" t="s">
        <v>35</v>
      </c>
      <c r="B15" s="60" t="s">
        <v>474</v>
      </c>
      <c r="C15" s="60" t="s">
        <v>475</v>
      </c>
      <c r="D15" s="60" t="s">
        <v>476</v>
      </c>
      <c r="E15" s="60" t="s">
        <v>477</v>
      </c>
      <c r="F15" s="60" t="s">
        <v>448</v>
      </c>
      <c r="G15" s="60" t="s">
        <v>448</v>
      </c>
      <c r="H15" s="60" t="s">
        <v>447</v>
      </c>
      <c r="I15" s="61"/>
      <c r="J15" s="61"/>
      <c r="K15" s="61"/>
      <c r="L15" s="61"/>
      <c r="M15" s="61" t="s">
        <v>478</v>
      </c>
      <c r="N15" s="62" t="s">
        <v>450</v>
      </c>
      <c r="O15" s="60"/>
      <c r="P15" s="60" t="s">
        <v>34</v>
      </c>
      <c r="Q15" s="63"/>
      <c r="R15" s="63"/>
      <c r="S15" s="60" t="s">
        <v>479</v>
      </c>
    </row>
    <row r="16" spans="1:19" ht="69.95" customHeight="1">
      <c r="A16" s="59" t="s">
        <v>36</v>
      </c>
      <c r="B16" s="59" t="s">
        <v>480</v>
      </c>
      <c r="C16" s="59" t="s">
        <v>481</v>
      </c>
      <c r="D16" s="59" t="s">
        <v>482</v>
      </c>
      <c r="E16" s="59" t="s">
        <v>447</v>
      </c>
      <c r="F16" s="59" t="s">
        <v>447</v>
      </c>
      <c r="G16" s="59" t="s">
        <v>447</v>
      </c>
      <c r="H16" s="59" t="s">
        <v>448</v>
      </c>
      <c r="I16" s="61"/>
      <c r="J16" s="61"/>
      <c r="K16" s="61"/>
      <c r="L16" s="61"/>
      <c r="M16" s="61" t="s">
        <v>449</v>
      </c>
      <c r="N16" s="62" t="s">
        <v>450</v>
      </c>
      <c r="O16" s="59"/>
      <c r="P16" s="59" t="s">
        <v>37</v>
      </c>
      <c r="Q16" s="63"/>
      <c r="R16" s="63"/>
      <c r="S16" s="59" t="s">
        <v>483</v>
      </c>
    </row>
    <row r="17" spans="1:19" ht="69.95" customHeight="1">
      <c r="A17" s="60" t="s">
        <v>38</v>
      </c>
      <c r="B17" s="60" t="s">
        <v>484</v>
      </c>
      <c r="C17" s="60" t="s">
        <v>485</v>
      </c>
      <c r="D17" s="60" t="s">
        <v>486</v>
      </c>
      <c r="E17" s="60" t="s">
        <v>447</v>
      </c>
      <c r="F17" s="60" t="s">
        <v>447</v>
      </c>
      <c r="G17" s="60" t="s">
        <v>448</v>
      </c>
      <c r="H17" s="60" t="s">
        <v>447</v>
      </c>
      <c r="I17" s="61"/>
      <c r="J17" s="61"/>
      <c r="K17" s="61"/>
      <c r="L17" s="61"/>
      <c r="M17" s="61" t="s">
        <v>449</v>
      </c>
      <c r="N17" s="62" t="s">
        <v>450</v>
      </c>
      <c r="O17" s="60"/>
      <c r="P17" s="60" t="s">
        <v>39</v>
      </c>
      <c r="Q17" s="63"/>
      <c r="R17" s="63"/>
      <c r="S17" s="60"/>
    </row>
    <row r="18" spans="1:19" ht="69.95" customHeight="1">
      <c r="A18" s="59" t="s">
        <v>40</v>
      </c>
      <c r="B18" s="59" t="s">
        <v>41</v>
      </c>
      <c r="C18" s="59" t="s">
        <v>487</v>
      </c>
      <c r="D18" s="59" t="s">
        <v>488</v>
      </c>
      <c r="E18" s="59" t="s">
        <v>447</v>
      </c>
      <c r="F18" s="59" t="s">
        <v>447</v>
      </c>
      <c r="G18" s="59" t="s">
        <v>447</v>
      </c>
      <c r="H18" s="59" t="s">
        <v>447</v>
      </c>
      <c r="I18" s="61"/>
      <c r="J18" s="61"/>
      <c r="K18" s="61"/>
      <c r="L18" s="61"/>
      <c r="M18" s="61" t="s">
        <v>449</v>
      </c>
      <c r="N18" s="62" t="s">
        <v>450</v>
      </c>
      <c r="O18" s="59"/>
      <c r="P18" s="59" t="s">
        <v>42</v>
      </c>
      <c r="Q18" s="63"/>
      <c r="R18" s="63"/>
      <c r="S18" s="59"/>
    </row>
    <row r="19" spans="1:19" ht="69.95" customHeight="1">
      <c r="A19" s="60" t="s">
        <v>43</v>
      </c>
      <c r="B19" s="60" t="s">
        <v>489</v>
      </c>
      <c r="C19" s="60" t="s">
        <v>490</v>
      </c>
      <c r="D19" s="60" t="s">
        <v>491</v>
      </c>
      <c r="E19" s="60" t="s">
        <v>447</v>
      </c>
      <c r="F19" s="60" t="s">
        <v>448</v>
      </c>
      <c r="G19" s="60" t="s">
        <v>448</v>
      </c>
      <c r="H19" s="60" t="s">
        <v>447</v>
      </c>
      <c r="I19" s="61"/>
      <c r="J19" s="61"/>
      <c r="K19" s="61"/>
      <c r="L19" s="61"/>
      <c r="M19" s="61" t="s">
        <v>492</v>
      </c>
      <c r="N19" s="62" t="s">
        <v>450</v>
      </c>
      <c r="O19" s="60"/>
      <c r="P19" s="60" t="s">
        <v>44</v>
      </c>
      <c r="Q19" s="63"/>
      <c r="R19" s="63"/>
      <c r="S19" s="60" t="s">
        <v>493</v>
      </c>
    </row>
    <row r="20" spans="1:19" ht="69.95" customHeight="1">
      <c r="A20" s="59" t="s">
        <v>45</v>
      </c>
      <c r="B20" s="59" t="s">
        <v>494</v>
      </c>
      <c r="C20" s="59" t="s">
        <v>495</v>
      </c>
      <c r="D20" s="59" t="s">
        <v>496</v>
      </c>
      <c r="E20" s="59" t="s">
        <v>447</v>
      </c>
      <c r="F20" s="59" t="s">
        <v>447</v>
      </c>
      <c r="G20" s="59" t="s">
        <v>447</v>
      </c>
      <c r="H20" s="59" t="s">
        <v>447</v>
      </c>
      <c r="I20" s="61"/>
      <c r="J20" s="61"/>
      <c r="K20" s="61"/>
      <c r="L20" s="61"/>
      <c r="M20" s="61" t="s">
        <v>449</v>
      </c>
      <c r="N20" s="62" t="s">
        <v>450</v>
      </c>
      <c r="O20" s="59"/>
      <c r="P20" s="59" t="s">
        <v>46</v>
      </c>
      <c r="Q20" s="63"/>
      <c r="R20" s="63"/>
      <c r="S20" s="59"/>
    </row>
    <row r="21" spans="1:19" ht="69.95" customHeight="1">
      <c r="A21" s="60" t="s">
        <v>47</v>
      </c>
      <c r="B21" s="60" t="s">
        <v>497</v>
      </c>
      <c r="C21" s="60" t="s">
        <v>498</v>
      </c>
      <c r="D21" s="60" t="s">
        <v>499</v>
      </c>
      <c r="E21" s="60" t="s">
        <v>447</v>
      </c>
      <c r="F21" s="60" t="s">
        <v>447</v>
      </c>
      <c r="G21" s="60" t="s">
        <v>447</v>
      </c>
      <c r="H21" s="60" t="s">
        <v>448</v>
      </c>
      <c r="I21" s="61"/>
      <c r="J21" s="61"/>
      <c r="K21" s="61"/>
      <c r="L21" s="61"/>
      <c r="M21" s="61" t="s">
        <v>449</v>
      </c>
      <c r="N21" s="62" t="s">
        <v>450</v>
      </c>
      <c r="O21" s="60"/>
      <c r="P21" s="60" t="s">
        <v>48</v>
      </c>
      <c r="Q21" s="63"/>
      <c r="R21" s="63"/>
      <c r="S21" s="60"/>
    </row>
    <row r="22" spans="1:19" ht="69.95" customHeight="1">
      <c r="A22" s="59" t="s">
        <v>49</v>
      </c>
      <c r="B22" s="59" t="s">
        <v>500</v>
      </c>
      <c r="C22" s="59" t="s">
        <v>501</v>
      </c>
      <c r="D22" s="59" t="s">
        <v>502</v>
      </c>
      <c r="E22" s="59" t="s">
        <v>447</v>
      </c>
      <c r="F22" s="59" t="s">
        <v>447</v>
      </c>
      <c r="G22" s="59" t="s">
        <v>448</v>
      </c>
      <c r="H22" s="59" t="s">
        <v>447</v>
      </c>
      <c r="I22" s="61"/>
      <c r="J22" s="61"/>
      <c r="K22" s="61"/>
      <c r="L22" s="61"/>
      <c r="M22" s="61" t="s">
        <v>503</v>
      </c>
      <c r="N22" s="62" t="s">
        <v>450</v>
      </c>
      <c r="O22" s="59"/>
      <c r="P22" s="59" t="s">
        <v>50</v>
      </c>
      <c r="Q22" s="63"/>
      <c r="R22" s="63"/>
      <c r="S22" s="59"/>
    </row>
    <row r="23" spans="1:19" ht="69.95" customHeight="1">
      <c r="A23" s="60" t="s">
        <v>51</v>
      </c>
      <c r="B23" s="60" t="s">
        <v>52</v>
      </c>
      <c r="C23" s="60" t="s">
        <v>504</v>
      </c>
      <c r="D23" s="60" t="s">
        <v>505</v>
      </c>
      <c r="E23" s="60" t="s">
        <v>447</v>
      </c>
      <c r="F23" s="60" t="s">
        <v>447</v>
      </c>
      <c r="G23" s="60" t="s">
        <v>447</v>
      </c>
      <c r="H23" s="60" t="s">
        <v>447</v>
      </c>
      <c r="I23" s="61"/>
      <c r="J23" s="61"/>
      <c r="K23" s="61"/>
      <c r="L23" s="61"/>
      <c r="M23" s="61" t="s">
        <v>449</v>
      </c>
      <c r="N23" s="62" t="s">
        <v>450</v>
      </c>
      <c r="O23" s="60"/>
      <c r="P23" s="60" t="s">
        <v>53</v>
      </c>
      <c r="Q23" s="63"/>
      <c r="R23" s="63"/>
      <c r="S23" s="60" t="s">
        <v>506</v>
      </c>
    </row>
    <row r="24" spans="1:19" ht="69.95" customHeight="1">
      <c r="A24" s="59" t="s">
        <v>54</v>
      </c>
      <c r="B24" s="59" t="s">
        <v>507</v>
      </c>
      <c r="C24" s="59" t="s">
        <v>508</v>
      </c>
      <c r="D24" s="59" t="s">
        <v>509</v>
      </c>
      <c r="E24" s="59" t="s">
        <v>447</v>
      </c>
      <c r="F24" s="59" t="s">
        <v>447</v>
      </c>
      <c r="G24" s="59" t="s">
        <v>447</v>
      </c>
      <c r="H24" s="59" t="s">
        <v>448</v>
      </c>
      <c r="I24" s="61"/>
      <c r="J24" s="61"/>
      <c r="K24" s="61"/>
      <c r="L24" s="61"/>
      <c r="M24" s="61" t="s">
        <v>449</v>
      </c>
      <c r="N24" s="62" t="s">
        <v>450</v>
      </c>
      <c r="O24" s="59"/>
      <c r="P24" s="59" t="s">
        <v>53</v>
      </c>
      <c r="Q24" s="63"/>
      <c r="R24" s="63"/>
      <c r="S24" s="59"/>
    </row>
    <row r="25" spans="1:19" ht="69.95" customHeight="1">
      <c r="A25" s="60" t="s">
        <v>55</v>
      </c>
      <c r="B25" s="60" t="s">
        <v>510</v>
      </c>
      <c r="C25" s="60" t="s">
        <v>511</v>
      </c>
      <c r="D25" s="60" t="s">
        <v>512</v>
      </c>
      <c r="E25" s="60" t="s">
        <v>447</v>
      </c>
      <c r="F25" s="60" t="s">
        <v>447</v>
      </c>
      <c r="G25" s="60" t="s">
        <v>447</v>
      </c>
      <c r="H25" s="60" t="s">
        <v>448</v>
      </c>
      <c r="I25" s="61"/>
      <c r="J25" s="61"/>
      <c r="K25" s="61"/>
      <c r="L25" s="61"/>
      <c r="M25" s="61" t="s">
        <v>449</v>
      </c>
      <c r="N25" s="62" t="s">
        <v>450</v>
      </c>
      <c r="O25" s="60"/>
      <c r="P25" s="60" t="s">
        <v>53</v>
      </c>
      <c r="Q25" s="63"/>
      <c r="R25" s="63"/>
      <c r="S25" s="60" t="s">
        <v>513</v>
      </c>
    </row>
    <row r="26" spans="1:19" ht="69.95" customHeight="1">
      <c r="A26" s="59" t="s">
        <v>56</v>
      </c>
      <c r="B26" s="59" t="s">
        <v>514</v>
      </c>
      <c r="C26" s="59" t="s">
        <v>515</v>
      </c>
      <c r="D26" s="59" t="s">
        <v>516</v>
      </c>
      <c r="E26" s="59" t="s">
        <v>447</v>
      </c>
      <c r="F26" s="59" t="s">
        <v>447</v>
      </c>
      <c r="G26" s="59" t="s">
        <v>448</v>
      </c>
      <c r="H26" s="59" t="s">
        <v>448</v>
      </c>
      <c r="I26" s="61"/>
      <c r="J26" s="61"/>
      <c r="K26" s="61"/>
      <c r="L26" s="61"/>
      <c r="M26" s="61" t="s">
        <v>449</v>
      </c>
      <c r="N26" s="62" t="s">
        <v>450</v>
      </c>
      <c r="O26" s="59"/>
      <c r="P26" s="59" t="s">
        <v>57</v>
      </c>
      <c r="Q26" s="63"/>
      <c r="R26" s="63"/>
      <c r="S26" s="59" t="s">
        <v>517</v>
      </c>
    </row>
  </sheetData>
  <mergeCells count="17">
    <mergeCell ref="K5:L5"/>
    <mergeCell ref="M4:S4"/>
    <mergeCell ref="M5:S5"/>
    <mergeCell ref="A1:S1"/>
    <mergeCell ref="A2:S2"/>
    <mergeCell ref="A3:S3"/>
    <mergeCell ref="A4:B4"/>
    <mergeCell ref="A5:B5"/>
    <mergeCell ref="C4:D4"/>
    <mergeCell ref="C5:D5"/>
    <mergeCell ref="E4:F4"/>
    <mergeCell ref="E5:F5"/>
    <mergeCell ref="G4:H4"/>
    <mergeCell ref="G5:H5"/>
    <mergeCell ref="I4:J4"/>
    <mergeCell ref="I5:J5"/>
    <mergeCell ref="K4:L4"/>
  </mergeCells>
  <conditionalFormatting sqref="N8:N26">
    <cfRule type="containsText" dxfId="6" priority="1" operator="containsText" text="Completed">
      <formula>NOT(ISERROR(SEARCH("Completed",N8)))</formula>
    </cfRule>
    <cfRule type="containsText" dxfId="5" priority="2" operator="containsText" text="Blocked">
      <formula>NOT(ISERROR(SEARCH("Blocked",N8)))</formula>
    </cfRule>
    <cfRule type="containsText" dxfId="4" priority="3" operator="containsText" text="Skipped">
      <formula>NOT(ISERROR(SEARCH("Skipped",N8)))</formula>
    </cfRule>
  </conditionalFormatting>
  <dataValidations count="3">
    <dataValidation type="list" sqref="E8:E26" xr:uid="{00000000-0002-0000-0100-000000000000}">
      <formula1>"Required,Conditional,Client-dependent"</formula1>
    </dataValidation>
    <dataValidation type="list" sqref="F8:H26" xr:uid="{00000000-0002-0000-0100-000001000000}">
      <formula1>"Required,Recommended,Not required"</formula1>
    </dataValidation>
    <dataValidation type="list" sqref="N8:N26" xr:uid="{00000000-0002-0000-0100-000002000000}">
      <formula1>"Not started,In progress,Partial,Blocked,Skipped by owner,Completed"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4"/>
  <sheetViews>
    <sheetView showGridLines="0" workbookViewId="0"/>
  </sheetViews>
  <sheetFormatPr defaultRowHeight="14.25"/>
  <cols>
    <col min="1" max="1" width="6.875" customWidth="1"/>
    <col min="2" max="2" width="8.75" customWidth="1"/>
    <col min="3" max="3" width="14.375" customWidth="1"/>
    <col min="4" max="4" width="22.5" customWidth="1"/>
    <col min="5" max="5" width="38.75" customWidth="1"/>
    <col min="6" max="6" width="31.25" customWidth="1"/>
    <col min="7" max="7" width="37.5" customWidth="1"/>
    <col min="8" max="8" width="21.25" customWidth="1"/>
    <col min="9" max="9" width="36.25" customWidth="1"/>
    <col min="10" max="10" width="22.5" customWidth="1"/>
    <col min="11" max="11" width="27.5" customWidth="1"/>
    <col min="12" max="12" width="18.125" customWidth="1"/>
    <col min="13" max="13" width="13.125" customWidth="1"/>
    <col min="14" max="14" width="15.625" customWidth="1"/>
    <col min="15" max="15" width="15" customWidth="1"/>
    <col min="16" max="16" width="33.75" customWidth="1"/>
    <col min="17" max="17" width="30" customWidth="1"/>
    <col min="18" max="18" width="31.25" customWidth="1"/>
    <col min="19" max="19" width="28.75" customWidth="1"/>
    <col min="20" max="20" width="23.75" customWidth="1"/>
    <col min="21" max="21" width="19.375" customWidth="1"/>
    <col min="22" max="22" width="28.75" customWidth="1"/>
    <col min="23" max="23" width="11.25" customWidth="1"/>
    <col min="24" max="24" width="22" customWidth="1"/>
    <col min="25" max="25" width="28" customWidth="1"/>
    <col min="26" max="26" width="38" customWidth="1"/>
  </cols>
  <sheetData>
    <row r="1" spans="1:26" ht="32.1" customHeight="1">
      <c r="A1" s="118" t="s">
        <v>518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28"/>
      <c r="Y1" s="128"/>
      <c r="Z1" s="128"/>
    </row>
    <row r="2" spans="1:26" ht="33.950000000000003" customHeight="1">
      <c r="A2" s="129" t="s">
        <v>519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8"/>
      <c r="Y2" s="128"/>
      <c r="Z2" s="128"/>
    </row>
    <row r="3" spans="1:26" ht="33.950000000000003" customHeight="1">
      <c r="A3" s="130" t="s">
        <v>364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28"/>
      <c r="Y3" s="128"/>
      <c r="Z3" s="128"/>
    </row>
    <row r="4" spans="1:26" ht="27.95" customHeight="1">
      <c r="A4" s="19" t="s">
        <v>520</v>
      </c>
      <c r="B4" s="127" t="s">
        <v>521</v>
      </c>
      <c r="C4" s="127"/>
      <c r="D4" s="127"/>
      <c r="E4" s="127"/>
      <c r="F4" s="127"/>
      <c r="G4" s="127"/>
      <c r="H4" s="127" t="s">
        <v>522</v>
      </c>
      <c r="I4" s="127"/>
      <c r="J4" s="127"/>
      <c r="K4" s="127"/>
      <c r="L4" s="127"/>
      <c r="M4" s="127"/>
      <c r="N4" s="127"/>
      <c r="O4" s="127" t="s">
        <v>523</v>
      </c>
      <c r="P4" s="127"/>
      <c r="Q4" s="127"/>
      <c r="R4" s="127"/>
      <c r="S4" s="127"/>
      <c r="T4" s="127"/>
      <c r="U4" s="127"/>
      <c r="V4" s="127"/>
      <c r="W4" s="127"/>
    </row>
    <row r="5" spans="1:26" ht="42" customHeight="1">
      <c r="A5" s="21" t="s">
        <v>390</v>
      </c>
      <c r="B5" s="21" t="s">
        <v>4</v>
      </c>
      <c r="C5" s="21" t="s">
        <v>524</v>
      </c>
      <c r="D5" s="21" t="s">
        <v>525</v>
      </c>
      <c r="E5" s="21" t="s">
        <v>526</v>
      </c>
      <c r="F5" s="21" t="s">
        <v>527</v>
      </c>
      <c r="G5" s="21" t="s">
        <v>528</v>
      </c>
      <c r="H5" s="21" t="s">
        <v>529</v>
      </c>
      <c r="I5" s="21" t="s">
        <v>530</v>
      </c>
      <c r="J5" s="21" t="s">
        <v>531</v>
      </c>
      <c r="K5" s="21" t="s">
        <v>532</v>
      </c>
      <c r="L5" s="21" t="s">
        <v>533</v>
      </c>
      <c r="M5" s="21" t="s">
        <v>534</v>
      </c>
      <c r="N5" s="21" t="s">
        <v>190</v>
      </c>
      <c r="O5" s="21" t="s">
        <v>535</v>
      </c>
      <c r="P5" s="21" t="s">
        <v>536</v>
      </c>
      <c r="Q5" s="21" t="s">
        <v>58</v>
      </c>
      <c r="R5" s="21" t="s">
        <v>537</v>
      </c>
      <c r="S5" s="21" t="s">
        <v>538</v>
      </c>
      <c r="T5" s="21" t="s">
        <v>539</v>
      </c>
      <c r="U5" s="21" t="s">
        <v>540</v>
      </c>
      <c r="V5" s="21" t="s">
        <v>541</v>
      </c>
      <c r="W5" s="21" t="s">
        <v>542</v>
      </c>
      <c r="X5" s="103" t="s">
        <v>543</v>
      </c>
      <c r="Y5" s="103" t="s">
        <v>544</v>
      </c>
      <c r="Z5" s="109" t="s">
        <v>545</v>
      </c>
    </row>
    <row r="6" spans="1:26" ht="72" customHeight="1">
      <c r="A6" s="9" t="s">
        <v>0</v>
      </c>
      <c r="B6" s="11" t="s">
        <v>59</v>
      </c>
      <c r="C6" s="5" t="s">
        <v>546</v>
      </c>
      <c r="D6" s="5" t="s">
        <v>547</v>
      </c>
      <c r="E6" s="5" t="s">
        <v>548</v>
      </c>
      <c r="F6" s="5" t="s">
        <v>549</v>
      </c>
      <c r="G6" s="5"/>
      <c r="H6" s="5"/>
      <c r="I6" s="5"/>
      <c r="J6" s="5" t="s">
        <v>550</v>
      </c>
      <c r="K6" s="5" t="s">
        <v>60</v>
      </c>
      <c r="L6" s="5"/>
      <c r="M6" s="23"/>
      <c r="N6" s="22" t="s">
        <v>551</v>
      </c>
      <c r="O6" s="23"/>
      <c r="P6" s="5"/>
      <c r="Q6" s="5"/>
      <c r="R6" s="5" t="s">
        <v>552</v>
      </c>
      <c r="S6" s="5" t="s">
        <v>553</v>
      </c>
      <c r="T6" s="5" t="s">
        <v>554</v>
      </c>
      <c r="U6" s="5" t="s">
        <v>555</v>
      </c>
      <c r="V6" s="5" t="s">
        <v>554</v>
      </c>
      <c r="W6" s="24" t="str">
        <f>IF(N6="Approved",IF(AND(G6&lt;&gt;"",J6&lt;&gt;"",K6&lt;&gt;"",L6&lt;&gt;"",L6&lt;&gt;"Architect draft",M6&lt;&gt;"",P6&lt;&gt;"",Q6&lt;&gt;""),"Yes","No"),IF(N6="Deferred",IF(AND(I6&lt;&gt;"",J6&lt;&gt;"",L6&lt;&gt;"",L6&lt;&gt;"Architect draft",M6&lt;&gt;"",P6&lt;&gt;"",S6&lt;&gt;""),"Yes","No"),"No"))</f>
        <v>No</v>
      </c>
      <c r="X6" s="102" t="s">
        <v>365</v>
      </c>
      <c r="Y6" s="102" t="s">
        <v>366</v>
      </c>
      <c r="Z6" s="109" t="s">
        <v>556</v>
      </c>
    </row>
    <row r="7" spans="1:26" ht="72" customHeight="1">
      <c r="A7" s="10" t="s">
        <v>0</v>
      </c>
      <c r="B7" s="12" t="s">
        <v>61</v>
      </c>
      <c r="C7" s="6" t="s">
        <v>557</v>
      </c>
      <c r="D7" s="6" t="s">
        <v>557</v>
      </c>
      <c r="E7" s="6" t="s">
        <v>558</v>
      </c>
      <c r="F7" s="6" t="s">
        <v>559</v>
      </c>
      <c r="G7" s="6"/>
      <c r="H7" s="6"/>
      <c r="I7" s="6"/>
      <c r="J7" s="6" t="s">
        <v>550</v>
      </c>
      <c r="K7" s="6" t="s">
        <v>60</v>
      </c>
      <c r="L7" s="6"/>
      <c r="M7" s="26"/>
      <c r="N7" s="25" t="s">
        <v>551</v>
      </c>
      <c r="O7" s="26"/>
      <c r="P7" s="6"/>
      <c r="Q7" s="6"/>
      <c r="R7" s="6" t="s">
        <v>560</v>
      </c>
      <c r="S7" s="6" t="s">
        <v>561</v>
      </c>
      <c r="T7" s="6" t="s">
        <v>554</v>
      </c>
      <c r="U7" s="6" t="s">
        <v>555</v>
      </c>
      <c r="V7" s="6" t="s">
        <v>554</v>
      </c>
      <c r="W7" s="27" t="str">
        <f>IF(N7="Approved",IF(AND(G7&lt;&gt;"",J7&lt;&gt;"",K7&lt;&gt;"",L7&lt;&gt;"",L7&lt;&gt;"Architect draft",M7&lt;&gt;"",P7&lt;&gt;"",Q7&lt;&gt;""),"Yes","No"),IF(N7="Deferred",IF(AND(I7&lt;&gt;"",J7&lt;&gt;"",L7&lt;&gt;"",L7&lt;&gt;"Architect draft",M7&lt;&gt;"",P7&lt;&gt;"",S7&lt;&gt;""),"Yes","No"),"No"))</f>
        <v>No</v>
      </c>
      <c r="X7" s="102" t="s">
        <v>365</v>
      </c>
      <c r="Y7" s="102" t="s">
        <v>366</v>
      </c>
      <c r="Z7" s="109" t="s">
        <v>556</v>
      </c>
    </row>
    <row r="8" spans="1:26" ht="72" customHeight="1">
      <c r="A8" s="10" t="s">
        <v>0</v>
      </c>
      <c r="B8" s="13" t="s">
        <v>62</v>
      </c>
      <c r="C8" s="7" t="s">
        <v>562</v>
      </c>
      <c r="D8" s="7" t="s">
        <v>563</v>
      </c>
      <c r="E8" s="7" t="s">
        <v>564</v>
      </c>
      <c r="F8" s="7" t="s">
        <v>565</v>
      </c>
      <c r="G8" s="7"/>
      <c r="H8" s="7"/>
      <c r="I8" s="7"/>
      <c r="J8" s="7" t="s">
        <v>550</v>
      </c>
      <c r="K8" s="7" t="s">
        <v>60</v>
      </c>
      <c r="L8" s="7"/>
      <c r="M8" s="28"/>
      <c r="N8" s="25" t="s">
        <v>551</v>
      </c>
      <c r="O8" s="28"/>
      <c r="P8" s="7"/>
      <c r="Q8" s="7"/>
      <c r="R8" s="7" t="s">
        <v>566</v>
      </c>
      <c r="S8" s="7" t="s">
        <v>567</v>
      </c>
      <c r="T8" s="7" t="s">
        <v>554</v>
      </c>
      <c r="U8" s="7" t="s">
        <v>555</v>
      </c>
      <c r="V8" s="7" t="s">
        <v>554</v>
      </c>
      <c r="W8" s="27" t="str">
        <f>IF(N8="Approved",IF(AND(G8&lt;&gt;"",J8&lt;&gt;"",K8&lt;&gt;"",L8&lt;&gt;"",L8&lt;&gt;"Architect draft",M8&lt;&gt;"",P8&lt;&gt;"",Q8&lt;&gt;""),"Yes","No"),IF(N8="Deferred",IF(AND(I8&lt;&gt;"",J8&lt;&gt;"",L8&lt;&gt;"",L8&lt;&gt;"Architect draft",M8&lt;&gt;"",P8&lt;&gt;"",S8&lt;&gt;""),"Yes","No"),"No"))</f>
        <v>No</v>
      </c>
      <c r="X8" s="102" t="s">
        <v>365</v>
      </c>
      <c r="Y8" s="102" t="s">
        <v>366</v>
      </c>
      <c r="Z8" s="109" t="s">
        <v>556</v>
      </c>
    </row>
    <row r="9" spans="1:26" ht="72" customHeight="1">
      <c r="A9" s="10" t="s">
        <v>0</v>
      </c>
      <c r="B9" s="12" t="s">
        <v>63</v>
      </c>
      <c r="C9" s="6" t="s">
        <v>562</v>
      </c>
      <c r="D9" s="6" t="s">
        <v>568</v>
      </c>
      <c r="E9" s="6" t="s">
        <v>569</v>
      </c>
      <c r="F9" s="6" t="s">
        <v>64</v>
      </c>
      <c r="G9" s="6"/>
      <c r="H9" s="6"/>
      <c r="I9" s="6"/>
      <c r="J9" s="6" t="s">
        <v>550</v>
      </c>
      <c r="K9" s="6" t="s">
        <v>60</v>
      </c>
      <c r="L9" s="6"/>
      <c r="M9" s="26"/>
      <c r="N9" s="25" t="s">
        <v>551</v>
      </c>
      <c r="O9" s="26"/>
      <c r="P9" s="6"/>
      <c r="Q9" s="6"/>
      <c r="R9" s="6" t="s">
        <v>570</v>
      </c>
      <c r="S9" s="6" t="s">
        <v>571</v>
      </c>
      <c r="T9" s="6" t="s">
        <v>572</v>
      </c>
      <c r="U9" s="6" t="s">
        <v>555</v>
      </c>
      <c r="V9" s="6" t="s">
        <v>572</v>
      </c>
      <c r="W9" s="27" t="str">
        <f>IF(N9="Approved",IF(AND(G9&lt;&gt;"",J9&lt;&gt;"",K9&lt;&gt;"",L9&lt;&gt;"",L9&lt;&gt;"Architect draft",M9&lt;&gt;"",P9&lt;&gt;"",Q9&lt;&gt;""),"Yes","No"),IF(N9="Deferred",IF(AND(I9&lt;&gt;"",J9&lt;&gt;"",L9&lt;&gt;"",L9&lt;&gt;"Architect draft",M9&lt;&gt;"",P9&lt;&gt;"",S9&lt;&gt;""),"Yes","No"),"No"))</f>
        <v>No</v>
      </c>
      <c r="X9" s="102" t="s">
        <v>365</v>
      </c>
      <c r="Y9" s="102" t="s">
        <v>366</v>
      </c>
      <c r="Z9" s="109" t="s">
        <v>556</v>
      </c>
    </row>
    <row r="10" spans="1:26" ht="72" customHeight="1">
      <c r="A10" s="10" t="s">
        <v>0</v>
      </c>
      <c r="B10" s="13" t="s">
        <v>22</v>
      </c>
      <c r="C10" s="7" t="s">
        <v>212</v>
      </c>
      <c r="D10" s="7" t="s">
        <v>573</v>
      </c>
      <c r="E10" s="7" t="s">
        <v>574</v>
      </c>
      <c r="F10" s="7" t="s">
        <v>575</v>
      </c>
      <c r="G10" s="7"/>
      <c r="H10" s="7"/>
      <c r="I10" s="7"/>
      <c r="J10" s="7" t="s">
        <v>550</v>
      </c>
      <c r="K10" s="7" t="s">
        <v>60</v>
      </c>
      <c r="L10" s="7"/>
      <c r="M10" s="28"/>
      <c r="N10" s="25" t="s">
        <v>551</v>
      </c>
      <c r="O10" s="28"/>
      <c r="P10" s="7"/>
      <c r="Q10" s="7"/>
      <c r="R10" s="7" t="s">
        <v>576</v>
      </c>
      <c r="S10" s="7" t="s">
        <v>577</v>
      </c>
      <c r="T10" s="7" t="s">
        <v>578</v>
      </c>
      <c r="U10" s="7" t="s">
        <v>65</v>
      </c>
      <c r="V10" s="7" t="s">
        <v>578</v>
      </c>
      <c r="W10" s="27" t="str">
        <f>IF(N10="Approved",IF(AND(G10&lt;&gt;"",J10&lt;&gt;"",K10&lt;&gt;"",L10&lt;&gt;"",L10&lt;&gt;"Architect draft",M10&lt;&gt;"",P10&lt;&gt;"",Q10&lt;&gt;""),"Yes","No"),IF(N10="Deferred",IF(AND(I10&lt;&gt;"",J10&lt;&gt;"",L10&lt;&gt;"",L10&lt;&gt;"Architect draft",M10&lt;&gt;"",P10&lt;&gt;"",S10&lt;&gt;""),"Yes","No"),"No"))</f>
        <v>No</v>
      </c>
      <c r="X10" s="102" t="s">
        <v>367</v>
      </c>
      <c r="Y10" s="102" t="s">
        <v>368</v>
      </c>
      <c r="Z10" s="109" t="s">
        <v>579</v>
      </c>
    </row>
    <row r="11" spans="1:26" ht="72" customHeight="1">
      <c r="A11" s="10" t="s">
        <v>0</v>
      </c>
      <c r="B11" s="12" t="s">
        <v>66</v>
      </c>
      <c r="C11" s="6" t="s">
        <v>580</v>
      </c>
      <c r="D11" s="6" t="s">
        <v>581</v>
      </c>
      <c r="E11" s="6" t="s">
        <v>582</v>
      </c>
      <c r="F11" s="6" t="s">
        <v>583</v>
      </c>
      <c r="G11" s="6"/>
      <c r="H11" s="6"/>
      <c r="I11" s="6"/>
      <c r="J11" s="6" t="s">
        <v>550</v>
      </c>
      <c r="K11" s="6" t="s">
        <v>67</v>
      </c>
      <c r="L11" s="6"/>
      <c r="M11" s="26"/>
      <c r="N11" s="25" t="s">
        <v>551</v>
      </c>
      <c r="O11" s="26"/>
      <c r="P11" s="6"/>
      <c r="Q11" s="6"/>
      <c r="R11" s="6" t="s">
        <v>584</v>
      </c>
      <c r="S11" s="6" t="s">
        <v>585</v>
      </c>
      <c r="T11" s="6" t="s">
        <v>554</v>
      </c>
      <c r="U11" s="6" t="s">
        <v>555</v>
      </c>
      <c r="V11" s="6" t="s">
        <v>554</v>
      </c>
      <c r="W11" s="27" t="str">
        <f>IF(N11="Approved",IF(AND(G11&lt;&gt;"",J11&lt;&gt;"",K11&lt;&gt;"",L11&lt;&gt;"",L11&lt;&gt;"Architect draft",M11&lt;&gt;"",P11&lt;&gt;"",Q11&lt;&gt;""),"Yes","No"),IF(N11="Deferred",IF(AND(I11&lt;&gt;"",J11&lt;&gt;"",L11&lt;&gt;"",L11&lt;&gt;"Architect draft",M11&lt;&gt;"",P11&lt;&gt;"",S11&lt;&gt;""),"Yes","No"),"No"))</f>
        <v>No</v>
      </c>
      <c r="X11" s="102" t="s">
        <v>365</v>
      </c>
      <c r="Y11" s="102" t="s">
        <v>369</v>
      </c>
      <c r="Z11" s="109" t="s">
        <v>556</v>
      </c>
    </row>
    <row r="12" spans="1:26" ht="72" customHeight="1">
      <c r="A12" s="10" t="s">
        <v>0</v>
      </c>
      <c r="B12" s="13" t="s">
        <v>68</v>
      </c>
      <c r="C12" s="7" t="s">
        <v>586</v>
      </c>
      <c r="D12" s="7" t="s">
        <v>587</v>
      </c>
      <c r="E12" s="7" t="s">
        <v>588</v>
      </c>
      <c r="F12" s="7" t="s">
        <v>589</v>
      </c>
      <c r="G12" s="7"/>
      <c r="H12" s="7"/>
      <c r="I12" s="7"/>
      <c r="J12" s="7" t="s">
        <v>550</v>
      </c>
      <c r="K12" s="7" t="s">
        <v>67</v>
      </c>
      <c r="L12" s="7"/>
      <c r="M12" s="28"/>
      <c r="N12" s="25" t="s">
        <v>551</v>
      </c>
      <c r="O12" s="28"/>
      <c r="P12" s="7"/>
      <c r="Q12" s="7"/>
      <c r="R12" s="7" t="s">
        <v>590</v>
      </c>
      <c r="S12" s="7" t="s">
        <v>591</v>
      </c>
      <c r="T12" s="7" t="s">
        <v>69</v>
      </c>
      <c r="U12" s="7" t="s">
        <v>65</v>
      </c>
      <c r="V12" s="7" t="s">
        <v>69</v>
      </c>
      <c r="W12" s="27" t="str">
        <f>IF(N12="Approved",IF(AND(G12&lt;&gt;"",J12&lt;&gt;"",K12&lt;&gt;"",L12&lt;&gt;"",L12&lt;&gt;"Architect draft",M12&lt;&gt;"",P12&lt;&gt;"",Q12&lt;&gt;""),"Yes","No"),IF(N12="Deferred",IF(AND(I12&lt;&gt;"",J12&lt;&gt;"",L12&lt;&gt;"",L12&lt;&gt;"Architect draft",M12&lt;&gt;"",P12&lt;&gt;"",S12&lt;&gt;""),"Yes","No"),"No"))</f>
        <v>No</v>
      </c>
      <c r="X12" s="102" t="s">
        <v>365</v>
      </c>
      <c r="Y12" s="102" t="s">
        <v>366</v>
      </c>
      <c r="Z12" s="109" t="s">
        <v>556</v>
      </c>
    </row>
    <row r="13" spans="1:26" ht="72" customHeight="1">
      <c r="A13" s="10" t="s">
        <v>0</v>
      </c>
      <c r="B13" s="12" t="s">
        <v>24</v>
      </c>
      <c r="C13" s="6" t="s">
        <v>592</v>
      </c>
      <c r="D13" s="6" t="s">
        <v>593</v>
      </c>
      <c r="E13" s="6" t="s">
        <v>594</v>
      </c>
      <c r="F13" s="6" t="s">
        <v>595</v>
      </c>
      <c r="G13" s="6"/>
      <c r="H13" s="6" t="s">
        <v>70</v>
      </c>
      <c r="I13" s="6"/>
      <c r="J13" s="6" t="s">
        <v>550</v>
      </c>
      <c r="K13" s="6" t="s">
        <v>71</v>
      </c>
      <c r="L13" s="6"/>
      <c r="M13" s="26"/>
      <c r="N13" s="25" t="s">
        <v>596</v>
      </c>
      <c r="O13" s="26"/>
      <c r="P13" s="6"/>
      <c r="Q13" s="6"/>
      <c r="R13" s="6" t="s">
        <v>597</v>
      </c>
      <c r="S13" s="6" t="s">
        <v>598</v>
      </c>
      <c r="T13" s="6" t="s">
        <v>72</v>
      </c>
      <c r="U13" s="6" t="s">
        <v>73</v>
      </c>
      <c r="V13" s="6" t="s">
        <v>74</v>
      </c>
      <c r="W13" s="27" t="str">
        <f>IF(N13="Approved",IF(AND(G13&lt;&gt;"",J13&lt;&gt;"",K13&lt;&gt;"",L13&lt;&gt;"",L13&lt;&gt;"Architect draft",M13&lt;&gt;"",P13&lt;&gt;"",Q13&lt;&gt;""),"Yes","No"),IF(N13="Deferred",IF(AND(I13&lt;&gt;"",J13&lt;&gt;"",L13&lt;&gt;"",L13&lt;&gt;"Architect draft",M13&lt;&gt;"",P13&lt;&gt;"",S13&lt;&gt;""),"Yes","No"),"No"))</f>
        <v>No</v>
      </c>
      <c r="X13" s="102" t="s">
        <v>367</v>
      </c>
      <c r="Y13" s="102" t="s">
        <v>368</v>
      </c>
      <c r="Z13" s="109" t="s">
        <v>579</v>
      </c>
    </row>
    <row r="14" spans="1:26" ht="72" customHeight="1">
      <c r="A14" s="10" t="s">
        <v>0</v>
      </c>
      <c r="B14" s="13" t="s">
        <v>26</v>
      </c>
      <c r="C14" s="7" t="s">
        <v>206</v>
      </c>
      <c r="D14" s="7" t="s">
        <v>236</v>
      </c>
      <c r="E14" s="7" t="s">
        <v>599</v>
      </c>
      <c r="F14" s="7" t="s">
        <v>75</v>
      </c>
      <c r="G14" s="7"/>
      <c r="H14" s="7"/>
      <c r="I14" s="7"/>
      <c r="J14" s="7" t="s">
        <v>550</v>
      </c>
      <c r="K14" s="7" t="s">
        <v>76</v>
      </c>
      <c r="L14" s="7"/>
      <c r="M14" s="28"/>
      <c r="N14" s="25" t="s">
        <v>551</v>
      </c>
      <c r="O14" s="28"/>
      <c r="P14" s="7"/>
      <c r="Q14" s="7"/>
      <c r="R14" s="7" t="s">
        <v>600</v>
      </c>
      <c r="S14" s="7" t="s">
        <v>601</v>
      </c>
      <c r="T14" s="7" t="s">
        <v>602</v>
      </c>
      <c r="U14" s="7" t="s">
        <v>65</v>
      </c>
      <c r="V14" s="7" t="s">
        <v>602</v>
      </c>
      <c r="W14" s="27" t="str">
        <f>IF(N14="Approved",IF(AND(G14&lt;&gt;"",J14&lt;&gt;"",K14&lt;&gt;"",L14&lt;&gt;"",L14&lt;&gt;"Architect draft",M14&lt;&gt;"",P14&lt;&gt;"",Q14&lt;&gt;""),"Yes","No"),IF(N14="Deferred",IF(AND(I14&lt;&gt;"",J14&lt;&gt;"",L14&lt;&gt;"",L14&lt;&gt;"Architect draft",M14&lt;&gt;"",P14&lt;&gt;"",S14&lt;&gt;""),"Yes","No"),"No"))</f>
        <v>No</v>
      </c>
      <c r="X14" s="102" t="s">
        <v>370</v>
      </c>
      <c r="Y14" s="102" t="s">
        <v>371</v>
      </c>
      <c r="Z14" s="109" t="s">
        <v>603</v>
      </c>
    </row>
    <row r="15" spans="1:26" ht="72" customHeight="1">
      <c r="A15" s="10" t="s">
        <v>0</v>
      </c>
      <c r="B15" s="12" t="s">
        <v>28</v>
      </c>
      <c r="C15" s="6" t="s">
        <v>206</v>
      </c>
      <c r="D15" s="6" t="s">
        <v>604</v>
      </c>
      <c r="E15" s="6" t="s">
        <v>605</v>
      </c>
      <c r="F15" s="6" t="s">
        <v>77</v>
      </c>
      <c r="G15" s="6"/>
      <c r="H15" s="6" t="s">
        <v>78</v>
      </c>
      <c r="I15" s="6"/>
      <c r="J15" s="6" t="s">
        <v>550</v>
      </c>
      <c r="K15" s="6" t="s">
        <v>76</v>
      </c>
      <c r="L15" s="6"/>
      <c r="M15" s="26"/>
      <c r="N15" s="25" t="s">
        <v>596</v>
      </c>
      <c r="O15" s="26"/>
      <c r="P15" s="6"/>
      <c r="Q15" s="6"/>
      <c r="R15" s="6" t="s">
        <v>606</v>
      </c>
      <c r="S15" s="6" t="s">
        <v>607</v>
      </c>
      <c r="T15" s="6" t="s">
        <v>79</v>
      </c>
      <c r="U15" s="6" t="s">
        <v>80</v>
      </c>
      <c r="V15" s="6" t="s">
        <v>74</v>
      </c>
      <c r="W15" s="27" t="str">
        <f>IF(N15="Approved",IF(AND(G15&lt;&gt;"",J15&lt;&gt;"",K15&lt;&gt;"",L15&lt;&gt;"",L15&lt;&gt;"Architect draft",M15&lt;&gt;"",P15&lt;&gt;"",Q15&lt;&gt;""),"Yes","No"),IF(N15="Deferred",IF(AND(I15&lt;&gt;"",J15&lt;&gt;"",L15&lt;&gt;"",L15&lt;&gt;"Architect draft",M15&lt;&gt;"",P15&lt;&gt;"",S15&lt;&gt;""),"Yes","No"),"No"))</f>
        <v>No</v>
      </c>
      <c r="X15" s="102" t="s">
        <v>370</v>
      </c>
      <c r="Y15" s="102" t="s">
        <v>371</v>
      </c>
      <c r="Z15" s="109" t="s">
        <v>603</v>
      </c>
    </row>
    <row r="16" spans="1:26" ht="72" customHeight="1">
      <c r="A16" s="10" t="s">
        <v>0</v>
      </c>
      <c r="B16" s="13" t="s">
        <v>30</v>
      </c>
      <c r="C16" s="7" t="s">
        <v>608</v>
      </c>
      <c r="D16" s="7" t="s">
        <v>609</v>
      </c>
      <c r="E16" s="7" t="s">
        <v>610</v>
      </c>
      <c r="F16" s="7" t="s">
        <v>611</v>
      </c>
      <c r="G16" s="7"/>
      <c r="H16" s="7"/>
      <c r="I16" s="7"/>
      <c r="J16" s="7" t="s">
        <v>550</v>
      </c>
      <c r="K16" s="7" t="s">
        <v>60</v>
      </c>
      <c r="L16" s="7"/>
      <c r="M16" s="28"/>
      <c r="N16" s="25" t="s">
        <v>551</v>
      </c>
      <c r="O16" s="28"/>
      <c r="P16" s="7"/>
      <c r="Q16" s="7"/>
      <c r="R16" s="7" t="s">
        <v>612</v>
      </c>
      <c r="S16" s="7" t="s">
        <v>613</v>
      </c>
      <c r="T16" s="7" t="s">
        <v>614</v>
      </c>
      <c r="U16" s="7" t="s">
        <v>555</v>
      </c>
      <c r="V16" s="7" t="s">
        <v>614</v>
      </c>
      <c r="W16" s="27" t="str">
        <f>IF(N16="Approved",IF(AND(G16&lt;&gt;"",J16&lt;&gt;"",K16&lt;&gt;"",L16&lt;&gt;"",L16&lt;&gt;"Architect draft",M16&lt;&gt;"",P16&lt;&gt;"",Q16&lt;&gt;""),"Yes","No"),IF(N16="Deferred",IF(AND(I16&lt;&gt;"",J16&lt;&gt;"",L16&lt;&gt;"",L16&lt;&gt;"Architect draft",M16&lt;&gt;"",P16&lt;&gt;"",S16&lt;&gt;""),"Yes","No"),"No"))</f>
        <v>No</v>
      </c>
      <c r="X16" s="102" t="s">
        <v>367</v>
      </c>
      <c r="Y16" s="102" t="s">
        <v>368</v>
      </c>
      <c r="Z16" s="109" t="s">
        <v>579</v>
      </c>
    </row>
    <row r="17" spans="1:26" ht="72" customHeight="1">
      <c r="A17" s="10" t="s">
        <v>0</v>
      </c>
      <c r="B17" s="12" t="s">
        <v>81</v>
      </c>
      <c r="C17" s="6" t="s">
        <v>206</v>
      </c>
      <c r="D17" s="6" t="s">
        <v>615</v>
      </c>
      <c r="E17" s="6" t="s">
        <v>616</v>
      </c>
      <c r="F17" s="6" t="s">
        <v>617</v>
      </c>
      <c r="G17" s="6"/>
      <c r="H17" s="6"/>
      <c r="I17" s="6"/>
      <c r="J17" s="6" t="s">
        <v>82</v>
      </c>
      <c r="K17" s="6" t="s">
        <v>76</v>
      </c>
      <c r="L17" s="6"/>
      <c r="M17" s="26"/>
      <c r="N17" s="25" t="s">
        <v>551</v>
      </c>
      <c r="O17" s="26"/>
      <c r="P17" s="6"/>
      <c r="Q17" s="6"/>
      <c r="R17" s="6" t="s">
        <v>618</v>
      </c>
      <c r="S17" s="6" t="s">
        <v>619</v>
      </c>
      <c r="T17" s="6" t="s">
        <v>554</v>
      </c>
      <c r="U17" s="6" t="s">
        <v>555</v>
      </c>
      <c r="V17" s="6" t="s">
        <v>554</v>
      </c>
      <c r="W17" s="27" t="str">
        <f>IF(N17="Approved",IF(AND(G17&lt;&gt;"",J17&lt;&gt;"",K17&lt;&gt;"",L17&lt;&gt;"",L17&lt;&gt;"Architect draft",M17&lt;&gt;"",P17&lt;&gt;"",Q17&lt;&gt;""),"Yes","No"),IF(N17="Deferred",IF(AND(I17&lt;&gt;"",J17&lt;&gt;"",L17&lt;&gt;"",L17&lt;&gt;"Architect draft",M17&lt;&gt;"",P17&lt;&gt;"",S17&lt;&gt;""),"Yes","No"),"No"))</f>
        <v>No</v>
      </c>
      <c r="X17" s="102" t="s">
        <v>370</v>
      </c>
      <c r="Y17" s="102" t="s">
        <v>371</v>
      </c>
      <c r="Z17" s="109" t="s">
        <v>603</v>
      </c>
    </row>
    <row r="18" spans="1:26" ht="72" customHeight="1">
      <c r="A18" s="10" t="s">
        <v>0</v>
      </c>
      <c r="B18" s="13" t="s">
        <v>34</v>
      </c>
      <c r="C18" s="7" t="s">
        <v>620</v>
      </c>
      <c r="D18" s="7" t="s">
        <v>621</v>
      </c>
      <c r="E18" s="7" t="s">
        <v>622</v>
      </c>
      <c r="F18" s="7" t="s">
        <v>83</v>
      </c>
      <c r="G18" s="7"/>
      <c r="H18" s="7"/>
      <c r="I18" s="7"/>
      <c r="J18" s="7" t="s">
        <v>550</v>
      </c>
      <c r="K18" s="7" t="s">
        <v>60</v>
      </c>
      <c r="L18" s="7"/>
      <c r="M18" s="28"/>
      <c r="N18" s="25" t="s">
        <v>551</v>
      </c>
      <c r="O18" s="28"/>
      <c r="P18" s="7"/>
      <c r="Q18" s="7"/>
      <c r="R18" s="7" t="s">
        <v>623</v>
      </c>
      <c r="S18" s="7" t="s">
        <v>624</v>
      </c>
      <c r="T18" s="7" t="s">
        <v>554</v>
      </c>
      <c r="U18" s="7" t="s">
        <v>555</v>
      </c>
      <c r="V18" s="7" t="s">
        <v>554</v>
      </c>
      <c r="W18" s="27" t="str">
        <f>IF(N18="Approved",IF(AND(G18&lt;&gt;"",J18&lt;&gt;"",K18&lt;&gt;"",L18&lt;&gt;"",L18&lt;&gt;"Architect draft",M18&lt;&gt;"",P18&lt;&gt;"",Q18&lt;&gt;""),"Yes","No"),IF(N18="Deferred",IF(AND(I18&lt;&gt;"",J18&lt;&gt;"",L18&lt;&gt;"",L18&lt;&gt;"Architect draft",M18&lt;&gt;"",P18&lt;&gt;"",S18&lt;&gt;""),"Yes","No"),"No"))</f>
        <v>No</v>
      </c>
      <c r="X18" s="102" t="s">
        <v>372</v>
      </c>
      <c r="Y18" s="102" t="s">
        <v>373</v>
      </c>
      <c r="Z18" s="109" t="s">
        <v>625</v>
      </c>
    </row>
    <row r="19" spans="1:26" ht="72" customHeight="1">
      <c r="A19" s="10" t="s">
        <v>0</v>
      </c>
      <c r="B19" s="12" t="s">
        <v>37</v>
      </c>
      <c r="C19" s="6" t="s">
        <v>626</v>
      </c>
      <c r="D19" s="6" t="s">
        <v>627</v>
      </c>
      <c r="E19" s="6" t="s">
        <v>628</v>
      </c>
      <c r="F19" s="6" t="s">
        <v>84</v>
      </c>
      <c r="G19" s="6"/>
      <c r="H19" s="6" t="s">
        <v>78</v>
      </c>
      <c r="I19" s="6"/>
      <c r="J19" s="6" t="s">
        <v>550</v>
      </c>
      <c r="K19" s="6" t="s">
        <v>85</v>
      </c>
      <c r="L19" s="6"/>
      <c r="M19" s="26"/>
      <c r="N19" s="25" t="s">
        <v>596</v>
      </c>
      <c r="O19" s="26"/>
      <c r="P19" s="6"/>
      <c r="Q19" s="6"/>
      <c r="R19" s="6" t="s">
        <v>629</v>
      </c>
      <c r="S19" s="6" t="s">
        <v>630</v>
      </c>
      <c r="T19" s="6" t="s">
        <v>72</v>
      </c>
      <c r="U19" s="6" t="s">
        <v>73</v>
      </c>
      <c r="V19" s="6" t="s">
        <v>74</v>
      </c>
      <c r="W19" s="27" t="str">
        <f>IF(N19="Approved",IF(AND(G19&lt;&gt;"",J19&lt;&gt;"",K19&lt;&gt;"",L19&lt;&gt;"",L19&lt;&gt;"Architect draft",M19&lt;&gt;"",P19&lt;&gt;"",Q19&lt;&gt;""),"Yes","No"),IF(N19="Deferred",IF(AND(I19&lt;&gt;"",J19&lt;&gt;"",L19&lt;&gt;"",L19&lt;&gt;"Architect draft",M19&lt;&gt;"",P19&lt;&gt;"",S19&lt;&gt;""),"Yes","No"),"No"))</f>
        <v>No</v>
      </c>
      <c r="X19" s="102" t="s">
        <v>372</v>
      </c>
      <c r="Y19" s="102" t="s">
        <v>373</v>
      </c>
      <c r="Z19" s="109" t="s">
        <v>625</v>
      </c>
    </row>
    <row r="20" spans="1:26" ht="72" customHeight="1">
      <c r="A20" s="10" t="s">
        <v>0</v>
      </c>
      <c r="B20" s="13" t="s">
        <v>86</v>
      </c>
      <c r="C20" s="7" t="s">
        <v>631</v>
      </c>
      <c r="D20" s="7" t="s">
        <v>632</v>
      </c>
      <c r="E20" s="7" t="s">
        <v>633</v>
      </c>
      <c r="F20" s="7" t="s">
        <v>87</v>
      </c>
      <c r="G20" s="7"/>
      <c r="H20" s="7" t="s">
        <v>88</v>
      </c>
      <c r="I20" s="7"/>
      <c r="J20" s="7" t="s">
        <v>550</v>
      </c>
      <c r="K20" s="7" t="s">
        <v>67</v>
      </c>
      <c r="L20" s="7"/>
      <c r="M20" s="28"/>
      <c r="N20" s="25" t="s">
        <v>596</v>
      </c>
      <c r="O20" s="28"/>
      <c r="P20" s="7"/>
      <c r="Q20" s="7"/>
      <c r="R20" s="7" t="s">
        <v>634</v>
      </c>
      <c r="S20" s="7" t="s">
        <v>635</v>
      </c>
      <c r="T20" s="7" t="s">
        <v>72</v>
      </c>
      <c r="U20" s="7" t="s">
        <v>73</v>
      </c>
      <c r="V20" s="7" t="s">
        <v>74</v>
      </c>
      <c r="W20" s="27" t="str">
        <f>IF(N20="Approved",IF(AND(G20&lt;&gt;"",J20&lt;&gt;"",K20&lt;&gt;"",L20&lt;&gt;"",L20&lt;&gt;"Architect draft",M20&lt;&gt;"",P20&lt;&gt;"",Q20&lt;&gt;""),"Yes","No"),IF(N20="Deferred",IF(AND(I20&lt;&gt;"",J20&lt;&gt;"",L20&lt;&gt;"",L20&lt;&gt;"Architect draft",M20&lt;&gt;"",P20&lt;&gt;"",S20&lt;&gt;""),"Yes","No"),"No"))</f>
        <v>No</v>
      </c>
      <c r="X20" s="102" t="s">
        <v>367</v>
      </c>
      <c r="Y20" s="102" t="s">
        <v>368</v>
      </c>
      <c r="Z20" s="109" t="s">
        <v>579</v>
      </c>
    </row>
    <row r="21" spans="1:26" ht="72" customHeight="1">
      <c r="A21" s="10" t="s">
        <v>0</v>
      </c>
      <c r="B21" s="12" t="s">
        <v>89</v>
      </c>
      <c r="C21" s="6" t="s">
        <v>636</v>
      </c>
      <c r="D21" s="6" t="s">
        <v>637</v>
      </c>
      <c r="E21" s="6" t="s">
        <v>638</v>
      </c>
      <c r="F21" s="6" t="s">
        <v>639</v>
      </c>
      <c r="G21" s="6"/>
      <c r="H21" s="6"/>
      <c r="I21" s="6"/>
      <c r="J21" s="6" t="s">
        <v>550</v>
      </c>
      <c r="K21" s="6" t="s">
        <v>60</v>
      </c>
      <c r="L21" s="6"/>
      <c r="M21" s="26"/>
      <c r="N21" s="25" t="s">
        <v>551</v>
      </c>
      <c r="O21" s="26"/>
      <c r="P21" s="6"/>
      <c r="Q21" s="6"/>
      <c r="R21" s="6" t="s">
        <v>640</v>
      </c>
      <c r="S21" s="6" t="s">
        <v>641</v>
      </c>
      <c r="T21" s="6" t="s">
        <v>642</v>
      </c>
      <c r="U21" s="6" t="s">
        <v>555</v>
      </c>
      <c r="V21" s="6" t="s">
        <v>642</v>
      </c>
      <c r="W21" s="27" t="str">
        <f>IF(N21="Approved",IF(AND(G21&lt;&gt;"",J21&lt;&gt;"",K21&lt;&gt;"",L21&lt;&gt;"",L21&lt;&gt;"Architect draft",M21&lt;&gt;"",P21&lt;&gt;"",Q21&lt;&gt;""),"Yes","No"),IF(N21="Deferred",IF(AND(I21&lt;&gt;"",J21&lt;&gt;"",L21&lt;&gt;"",L21&lt;&gt;"Architect draft",M21&lt;&gt;"",P21&lt;&gt;"",S21&lt;&gt;""),"Yes","No"),"No"))</f>
        <v>No</v>
      </c>
      <c r="X21" s="102" t="s">
        <v>374</v>
      </c>
      <c r="Y21" s="102" t="s">
        <v>375</v>
      </c>
      <c r="Z21" s="109" t="s">
        <v>643</v>
      </c>
    </row>
    <row r="22" spans="1:26" ht="72" customHeight="1">
      <c r="A22" s="30" t="s">
        <v>1</v>
      </c>
      <c r="B22" s="13" t="s">
        <v>39</v>
      </c>
      <c r="C22" s="7" t="s">
        <v>644</v>
      </c>
      <c r="D22" s="7" t="s">
        <v>90</v>
      </c>
      <c r="E22" s="7" t="s">
        <v>645</v>
      </c>
      <c r="F22" s="7" t="s">
        <v>91</v>
      </c>
      <c r="G22" s="7"/>
      <c r="H22" s="7"/>
      <c r="I22" s="7"/>
      <c r="J22" s="7" t="s">
        <v>60</v>
      </c>
      <c r="K22" s="7" t="s">
        <v>646</v>
      </c>
      <c r="L22" s="7"/>
      <c r="M22" s="28"/>
      <c r="N22" s="25" t="s">
        <v>551</v>
      </c>
      <c r="O22" s="28"/>
      <c r="P22" s="7"/>
      <c r="Q22" s="7"/>
      <c r="R22" s="7" t="s">
        <v>647</v>
      </c>
      <c r="S22" s="7" t="s">
        <v>648</v>
      </c>
      <c r="T22" s="7" t="s">
        <v>554</v>
      </c>
      <c r="U22" s="7" t="s">
        <v>555</v>
      </c>
      <c r="V22" s="7" t="s">
        <v>554</v>
      </c>
      <c r="W22" s="27" t="str">
        <f>IF(N22="Approved",IF(AND(G22&lt;&gt;"",J22&lt;&gt;"",K22&lt;&gt;"",L22&lt;&gt;"",L22&lt;&gt;"Architect draft",M22&lt;&gt;"",P22&lt;&gt;"",Q22&lt;&gt;""),"Yes","No"),IF(N22="Deferred",IF(AND(I22&lt;&gt;"",J22&lt;&gt;"",L22&lt;&gt;"",L22&lt;&gt;"Architect draft",M22&lt;&gt;"",P22&lt;&gt;"",S22&lt;&gt;""),"Yes","No"),"No"))</f>
        <v>No</v>
      </c>
      <c r="X22" s="102" t="s">
        <v>365</v>
      </c>
      <c r="Y22" s="102" t="s">
        <v>366</v>
      </c>
      <c r="Z22" s="109" t="s">
        <v>556</v>
      </c>
    </row>
    <row r="23" spans="1:26" ht="72" customHeight="1">
      <c r="A23" s="30" t="s">
        <v>1</v>
      </c>
      <c r="B23" s="12" t="s">
        <v>42</v>
      </c>
      <c r="C23" s="6" t="s">
        <v>206</v>
      </c>
      <c r="D23" s="6" t="s">
        <v>41</v>
      </c>
      <c r="E23" s="6" t="s">
        <v>649</v>
      </c>
      <c r="F23" s="6" t="s">
        <v>92</v>
      </c>
      <c r="G23" s="6"/>
      <c r="H23" s="6"/>
      <c r="I23" s="6"/>
      <c r="J23" s="6" t="s">
        <v>82</v>
      </c>
      <c r="K23" s="6" t="s">
        <v>76</v>
      </c>
      <c r="L23" s="6"/>
      <c r="M23" s="26"/>
      <c r="N23" s="25" t="s">
        <v>551</v>
      </c>
      <c r="O23" s="26"/>
      <c r="P23" s="6"/>
      <c r="Q23" s="6"/>
      <c r="R23" s="6" t="s">
        <v>650</v>
      </c>
      <c r="S23" s="6" t="s">
        <v>651</v>
      </c>
      <c r="T23" s="6" t="s">
        <v>652</v>
      </c>
      <c r="U23" s="6" t="s">
        <v>555</v>
      </c>
      <c r="V23" s="6" t="s">
        <v>652</v>
      </c>
      <c r="W23" s="27" t="str">
        <f>IF(N23="Approved",IF(AND(G23&lt;&gt;"",J23&lt;&gt;"",K23&lt;&gt;"",L23&lt;&gt;"",L23&lt;&gt;"Architect draft",M23&lt;&gt;"",P23&lt;&gt;"",Q23&lt;&gt;""),"Yes","No"),IF(N23="Deferred",IF(AND(I23&lt;&gt;"",J23&lt;&gt;"",L23&lt;&gt;"",L23&lt;&gt;"Architect draft",M23&lt;&gt;"",P23&lt;&gt;"",S23&lt;&gt;""),"Yes","No"),"No"))</f>
        <v>No</v>
      </c>
      <c r="X23" s="102" t="s">
        <v>370</v>
      </c>
      <c r="Y23" s="102" t="s">
        <v>371</v>
      </c>
      <c r="Z23" s="109" t="s">
        <v>603</v>
      </c>
    </row>
    <row r="24" spans="1:26" ht="72" customHeight="1">
      <c r="A24" s="30" t="s">
        <v>1</v>
      </c>
      <c r="B24" s="13" t="s">
        <v>93</v>
      </c>
      <c r="C24" s="7" t="s">
        <v>562</v>
      </c>
      <c r="D24" s="7" t="s">
        <v>248</v>
      </c>
      <c r="E24" s="7" t="s">
        <v>653</v>
      </c>
      <c r="F24" s="7" t="s">
        <v>94</v>
      </c>
      <c r="G24" s="7"/>
      <c r="H24" s="7"/>
      <c r="I24" s="7"/>
      <c r="J24" s="7" t="s">
        <v>95</v>
      </c>
      <c r="K24" s="7" t="s">
        <v>67</v>
      </c>
      <c r="L24" s="7"/>
      <c r="M24" s="28"/>
      <c r="N24" s="25" t="s">
        <v>551</v>
      </c>
      <c r="O24" s="28"/>
      <c r="P24" s="7"/>
      <c r="Q24" s="7"/>
      <c r="R24" s="7" t="s">
        <v>654</v>
      </c>
      <c r="S24" s="7" t="s">
        <v>655</v>
      </c>
      <c r="T24" s="7" t="s">
        <v>656</v>
      </c>
      <c r="U24" s="7" t="s">
        <v>65</v>
      </c>
      <c r="V24" s="7" t="s">
        <v>656</v>
      </c>
      <c r="W24" s="27" t="str">
        <f>IF(N24="Approved",IF(AND(G24&lt;&gt;"",J24&lt;&gt;"",K24&lt;&gt;"",L24&lt;&gt;"",L24&lt;&gt;"Architect draft",M24&lt;&gt;"",P24&lt;&gt;"",Q24&lt;&gt;""),"Yes","No"),IF(N24="Deferred",IF(AND(I24&lt;&gt;"",J24&lt;&gt;"",L24&lt;&gt;"",L24&lt;&gt;"Architect draft",M24&lt;&gt;"",P24&lt;&gt;"",S24&lt;&gt;""),"Yes","No"),"No"))</f>
        <v>No</v>
      </c>
      <c r="X24" s="102" t="s">
        <v>365</v>
      </c>
      <c r="Y24" s="102" t="s">
        <v>366</v>
      </c>
      <c r="Z24" s="109" t="s">
        <v>556</v>
      </c>
    </row>
    <row r="25" spans="1:26" ht="72" customHeight="1">
      <c r="A25" s="30" t="s">
        <v>1</v>
      </c>
      <c r="B25" s="12" t="s">
        <v>96</v>
      </c>
      <c r="C25" s="6" t="s">
        <v>657</v>
      </c>
      <c r="D25" s="6" t="s">
        <v>97</v>
      </c>
      <c r="E25" s="6" t="s">
        <v>658</v>
      </c>
      <c r="F25" s="6" t="s">
        <v>98</v>
      </c>
      <c r="G25" s="6"/>
      <c r="H25" s="6"/>
      <c r="I25" s="6"/>
      <c r="J25" s="6" t="s">
        <v>60</v>
      </c>
      <c r="K25" s="6" t="s">
        <v>646</v>
      </c>
      <c r="L25" s="6"/>
      <c r="M25" s="26"/>
      <c r="N25" s="25" t="s">
        <v>551</v>
      </c>
      <c r="O25" s="26"/>
      <c r="P25" s="6"/>
      <c r="Q25" s="6"/>
      <c r="R25" s="6" t="s">
        <v>659</v>
      </c>
      <c r="S25" s="6" t="s">
        <v>660</v>
      </c>
      <c r="T25" s="6" t="s">
        <v>652</v>
      </c>
      <c r="U25" s="6" t="s">
        <v>555</v>
      </c>
      <c r="V25" s="6" t="s">
        <v>652</v>
      </c>
      <c r="W25" s="27" t="str">
        <f>IF(N25="Approved",IF(AND(G25&lt;&gt;"",J25&lt;&gt;"",K25&lt;&gt;"",L25&lt;&gt;"",L25&lt;&gt;"Architect draft",M25&lt;&gt;"",P25&lt;&gt;"",Q25&lt;&gt;""),"Yes","No"),IF(N25="Deferred",IF(AND(I25&lt;&gt;"",J25&lt;&gt;"",L25&lt;&gt;"",L25&lt;&gt;"Architect draft",M25&lt;&gt;"",P25&lt;&gt;"",S25&lt;&gt;""),"Yes","No"),"No"))</f>
        <v>No</v>
      </c>
      <c r="X25" s="102" t="s">
        <v>365</v>
      </c>
      <c r="Y25" s="102" t="s">
        <v>369</v>
      </c>
      <c r="Z25" s="109" t="s">
        <v>556</v>
      </c>
    </row>
    <row r="26" spans="1:26" ht="72" customHeight="1">
      <c r="A26" s="30" t="s">
        <v>1</v>
      </c>
      <c r="B26" s="13" t="s">
        <v>99</v>
      </c>
      <c r="C26" s="7" t="s">
        <v>212</v>
      </c>
      <c r="D26" s="7" t="s">
        <v>661</v>
      </c>
      <c r="E26" s="7" t="s">
        <v>662</v>
      </c>
      <c r="F26" s="7" t="s">
        <v>663</v>
      </c>
      <c r="G26" s="7"/>
      <c r="H26" s="7"/>
      <c r="I26" s="7"/>
      <c r="J26" s="7" t="s">
        <v>550</v>
      </c>
      <c r="K26" s="7" t="s">
        <v>60</v>
      </c>
      <c r="L26" s="7"/>
      <c r="M26" s="28"/>
      <c r="N26" s="25" t="s">
        <v>551</v>
      </c>
      <c r="O26" s="28"/>
      <c r="P26" s="7"/>
      <c r="Q26" s="7"/>
      <c r="R26" s="7" t="s">
        <v>664</v>
      </c>
      <c r="S26" s="7" t="s">
        <v>665</v>
      </c>
      <c r="T26" s="7" t="s">
        <v>554</v>
      </c>
      <c r="U26" s="7" t="s">
        <v>100</v>
      </c>
      <c r="V26" s="7" t="s">
        <v>101</v>
      </c>
      <c r="W26" s="27" t="str">
        <f>IF(N26="Approved",IF(AND(G26&lt;&gt;"",J26&lt;&gt;"",K26&lt;&gt;"",L26&lt;&gt;"",L26&lt;&gt;"Architect draft",M26&lt;&gt;"",P26&lt;&gt;"",Q26&lt;&gt;""),"Yes","No"),IF(N26="Deferred",IF(AND(I26&lt;&gt;"",J26&lt;&gt;"",L26&lt;&gt;"",L26&lt;&gt;"Architect draft",M26&lt;&gt;"",P26&lt;&gt;"",S26&lt;&gt;""),"Yes","No"),"No"))</f>
        <v>No</v>
      </c>
      <c r="X26" s="102" t="s">
        <v>365</v>
      </c>
      <c r="Y26" s="102" t="s">
        <v>366</v>
      </c>
      <c r="Z26" s="109" t="s">
        <v>556</v>
      </c>
    </row>
    <row r="27" spans="1:26" ht="72" customHeight="1">
      <c r="A27" s="30" t="s">
        <v>1</v>
      </c>
      <c r="B27" s="12" t="s">
        <v>102</v>
      </c>
      <c r="C27" s="6" t="s">
        <v>666</v>
      </c>
      <c r="D27" s="6" t="s">
        <v>667</v>
      </c>
      <c r="E27" s="6" t="s">
        <v>668</v>
      </c>
      <c r="F27" s="6" t="s">
        <v>103</v>
      </c>
      <c r="G27" s="6"/>
      <c r="H27" s="6"/>
      <c r="I27" s="6"/>
      <c r="J27" s="6" t="s">
        <v>60</v>
      </c>
      <c r="K27" s="6" t="s">
        <v>646</v>
      </c>
      <c r="L27" s="6"/>
      <c r="M27" s="26"/>
      <c r="N27" s="25" t="s">
        <v>551</v>
      </c>
      <c r="O27" s="26"/>
      <c r="P27" s="6"/>
      <c r="Q27" s="6"/>
      <c r="R27" s="6" t="s">
        <v>669</v>
      </c>
      <c r="S27" s="6" t="s">
        <v>670</v>
      </c>
      <c r="T27" s="6" t="s">
        <v>554</v>
      </c>
      <c r="U27" s="6" t="s">
        <v>555</v>
      </c>
      <c r="V27" s="6" t="s">
        <v>554</v>
      </c>
      <c r="W27" s="27" t="str">
        <f>IF(N27="Approved",IF(AND(G27&lt;&gt;"",J27&lt;&gt;"",K27&lt;&gt;"",L27&lt;&gt;"",L27&lt;&gt;"Architect draft",M27&lt;&gt;"",P27&lt;&gt;"",Q27&lt;&gt;""),"Yes","No"),IF(N27="Deferred",IF(AND(I27&lt;&gt;"",J27&lt;&gt;"",L27&lt;&gt;"",L27&lt;&gt;"Architect draft",M27&lt;&gt;"",P27&lt;&gt;"",S27&lt;&gt;""),"Yes","No"),"No"))</f>
        <v>No</v>
      </c>
      <c r="X27" s="102" t="s">
        <v>374</v>
      </c>
      <c r="Y27" s="102" t="s">
        <v>375</v>
      </c>
      <c r="Z27" s="109" t="s">
        <v>643</v>
      </c>
    </row>
    <row r="28" spans="1:26" ht="72" customHeight="1">
      <c r="A28" s="30" t="s">
        <v>1</v>
      </c>
      <c r="B28" s="13" t="s">
        <v>104</v>
      </c>
      <c r="C28" s="7" t="s">
        <v>666</v>
      </c>
      <c r="D28" s="7" t="s">
        <v>105</v>
      </c>
      <c r="E28" s="7" t="s">
        <v>671</v>
      </c>
      <c r="F28" s="7" t="s">
        <v>106</v>
      </c>
      <c r="G28" s="7"/>
      <c r="H28" s="7"/>
      <c r="I28" s="7"/>
      <c r="J28" s="7" t="s">
        <v>60</v>
      </c>
      <c r="K28" s="7" t="s">
        <v>646</v>
      </c>
      <c r="L28" s="7"/>
      <c r="M28" s="28"/>
      <c r="N28" s="25" t="s">
        <v>551</v>
      </c>
      <c r="O28" s="28"/>
      <c r="P28" s="7"/>
      <c r="Q28" s="7"/>
      <c r="R28" s="7" t="s">
        <v>672</v>
      </c>
      <c r="S28" s="7" t="s">
        <v>673</v>
      </c>
      <c r="T28" s="7" t="s">
        <v>674</v>
      </c>
      <c r="U28" s="7" t="s">
        <v>555</v>
      </c>
      <c r="V28" s="7" t="s">
        <v>674</v>
      </c>
      <c r="W28" s="27" t="str">
        <f>IF(N28="Approved",IF(AND(G28&lt;&gt;"",J28&lt;&gt;"",K28&lt;&gt;"",L28&lt;&gt;"",L28&lt;&gt;"Architect draft",M28&lt;&gt;"",P28&lt;&gt;"",Q28&lt;&gt;""),"Yes","No"),IF(N28="Deferred",IF(AND(I28&lt;&gt;"",J28&lt;&gt;"",L28&lt;&gt;"",L28&lt;&gt;"Architect draft",M28&lt;&gt;"",P28&lt;&gt;"",S28&lt;&gt;""),"Yes","No"),"No"))</f>
        <v>No</v>
      </c>
      <c r="X28" s="102" t="s">
        <v>374</v>
      </c>
      <c r="Y28" s="102" t="s">
        <v>375</v>
      </c>
      <c r="Z28" s="109" t="s">
        <v>643</v>
      </c>
    </row>
    <row r="29" spans="1:26" ht="72" customHeight="1">
      <c r="A29" s="30" t="s">
        <v>1</v>
      </c>
      <c r="B29" s="12" t="s">
        <v>46</v>
      </c>
      <c r="C29" s="6" t="s">
        <v>212</v>
      </c>
      <c r="D29" s="6" t="s">
        <v>494</v>
      </c>
      <c r="E29" s="6" t="s">
        <v>675</v>
      </c>
      <c r="F29" s="6" t="s">
        <v>107</v>
      </c>
      <c r="G29" s="6"/>
      <c r="H29" s="6"/>
      <c r="I29" s="6"/>
      <c r="J29" s="6" t="s">
        <v>550</v>
      </c>
      <c r="K29" s="6" t="s">
        <v>60</v>
      </c>
      <c r="L29" s="6"/>
      <c r="M29" s="26"/>
      <c r="N29" s="25" t="s">
        <v>551</v>
      </c>
      <c r="O29" s="26"/>
      <c r="P29" s="6"/>
      <c r="Q29" s="6"/>
      <c r="R29" s="6" t="s">
        <v>676</v>
      </c>
      <c r="S29" s="6" t="s">
        <v>677</v>
      </c>
      <c r="T29" s="6" t="s">
        <v>652</v>
      </c>
      <c r="U29" s="6" t="s">
        <v>555</v>
      </c>
      <c r="V29" s="6" t="s">
        <v>652</v>
      </c>
      <c r="W29" s="27" t="str">
        <f>IF(N29="Approved",IF(AND(G29&lt;&gt;"",J29&lt;&gt;"",K29&lt;&gt;"",L29&lt;&gt;"",L29&lt;&gt;"Architect draft",M29&lt;&gt;"",P29&lt;&gt;"",Q29&lt;&gt;""),"Yes","No"),IF(N29="Deferred",IF(AND(I29&lt;&gt;"",J29&lt;&gt;"",L29&lt;&gt;"",L29&lt;&gt;"Architect draft",M29&lt;&gt;"",P29&lt;&gt;"",S29&lt;&gt;""),"Yes","No"),"No"))</f>
        <v>No</v>
      </c>
      <c r="X29" s="102" t="s">
        <v>376</v>
      </c>
      <c r="Y29" s="102" t="s">
        <v>377</v>
      </c>
      <c r="Z29" s="109" t="s">
        <v>678</v>
      </c>
    </row>
    <row r="30" spans="1:26" ht="72" customHeight="1">
      <c r="A30" s="30" t="s">
        <v>1</v>
      </c>
      <c r="B30" s="13" t="s">
        <v>108</v>
      </c>
      <c r="C30" s="7" t="s">
        <v>212</v>
      </c>
      <c r="D30" s="7" t="s">
        <v>109</v>
      </c>
      <c r="E30" s="7" t="s">
        <v>679</v>
      </c>
      <c r="F30" s="7" t="s">
        <v>110</v>
      </c>
      <c r="G30" s="7"/>
      <c r="H30" s="7"/>
      <c r="I30" s="7"/>
      <c r="J30" s="7" t="s">
        <v>550</v>
      </c>
      <c r="K30" s="7" t="s">
        <v>60</v>
      </c>
      <c r="L30" s="7"/>
      <c r="M30" s="28"/>
      <c r="N30" s="25" t="s">
        <v>551</v>
      </c>
      <c r="O30" s="28"/>
      <c r="P30" s="7"/>
      <c r="Q30" s="7"/>
      <c r="R30" s="7" t="s">
        <v>680</v>
      </c>
      <c r="S30" s="7" t="s">
        <v>681</v>
      </c>
      <c r="T30" s="7" t="s">
        <v>652</v>
      </c>
      <c r="U30" s="7" t="s">
        <v>555</v>
      </c>
      <c r="V30" s="7" t="s">
        <v>652</v>
      </c>
      <c r="W30" s="27" t="str">
        <f>IF(N30="Approved",IF(AND(G30&lt;&gt;"",J30&lt;&gt;"",K30&lt;&gt;"",L30&lt;&gt;"",L30&lt;&gt;"Architect draft",M30&lt;&gt;"",P30&lt;&gt;"",Q30&lt;&gt;""),"Yes","No"),IF(N30="Deferred",IF(AND(I30&lt;&gt;"",J30&lt;&gt;"",L30&lt;&gt;"",L30&lt;&gt;"Architect draft",M30&lt;&gt;"",P30&lt;&gt;"",S30&lt;&gt;""),"Yes","No"),"No"))</f>
        <v>No</v>
      </c>
      <c r="X30" s="102" t="s">
        <v>365</v>
      </c>
      <c r="Y30" s="102" t="s">
        <v>366</v>
      </c>
      <c r="Z30" s="109" t="s">
        <v>556</v>
      </c>
    </row>
    <row r="31" spans="1:26" ht="72" customHeight="1">
      <c r="A31" s="30" t="s">
        <v>1</v>
      </c>
      <c r="B31" s="12" t="s">
        <v>111</v>
      </c>
      <c r="C31" s="6" t="s">
        <v>586</v>
      </c>
      <c r="D31" s="6" t="s">
        <v>682</v>
      </c>
      <c r="E31" s="6" t="s">
        <v>683</v>
      </c>
      <c r="F31" s="6" t="s">
        <v>684</v>
      </c>
      <c r="G31" s="6"/>
      <c r="H31" s="6"/>
      <c r="I31" s="6"/>
      <c r="J31" s="6" t="s">
        <v>550</v>
      </c>
      <c r="K31" s="6" t="s">
        <v>60</v>
      </c>
      <c r="L31" s="6"/>
      <c r="M31" s="26"/>
      <c r="N31" s="25" t="s">
        <v>551</v>
      </c>
      <c r="O31" s="26"/>
      <c r="P31" s="6"/>
      <c r="Q31" s="6"/>
      <c r="R31" s="6" t="s">
        <v>685</v>
      </c>
      <c r="S31" s="6" t="s">
        <v>686</v>
      </c>
      <c r="T31" s="6" t="s">
        <v>69</v>
      </c>
      <c r="U31" s="6" t="s">
        <v>100</v>
      </c>
      <c r="V31" s="6" t="s">
        <v>101</v>
      </c>
      <c r="W31" s="27" t="str">
        <f>IF(N31="Approved",IF(AND(G31&lt;&gt;"",J31&lt;&gt;"",K31&lt;&gt;"",L31&lt;&gt;"",L31&lt;&gt;"Architect draft",M31&lt;&gt;"",P31&lt;&gt;"",Q31&lt;&gt;""),"Yes","No"),IF(N31="Deferred",IF(AND(I31&lt;&gt;"",J31&lt;&gt;"",L31&lt;&gt;"",L31&lt;&gt;"Architect draft",M31&lt;&gt;"",P31&lt;&gt;"",S31&lt;&gt;""),"Yes","No"),"No"))</f>
        <v>No</v>
      </c>
      <c r="X31" s="102" t="s">
        <v>365</v>
      </c>
      <c r="Y31" s="102" t="s">
        <v>366</v>
      </c>
      <c r="Z31" s="109" t="s">
        <v>556</v>
      </c>
    </row>
    <row r="32" spans="1:26" ht="72" customHeight="1">
      <c r="A32" s="30" t="s">
        <v>1</v>
      </c>
      <c r="B32" s="13" t="s">
        <v>112</v>
      </c>
      <c r="C32" s="7" t="s">
        <v>687</v>
      </c>
      <c r="D32" s="7" t="s">
        <v>113</v>
      </c>
      <c r="E32" s="7" t="s">
        <v>688</v>
      </c>
      <c r="F32" s="7" t="s">
        <v>114</v>
      </c>
      <c r="G32" s="7"/>
      <c r="H32" s="7"/>
      <c r="I32" s="7"/>
      <c r="J32" s="7" t="s">
        <v>60</v>
      </c>
      <c r="K32" s="7" t="s">
        <v>646</v>
      </c>
      <c r="L32" s="7"/>
      <c r="M32" s="28"/>
      <c r="N32" s="25" t="s">
        <v>551</v>
      </c>
      <c r="O32" s="28"/>
      <c r="P32" s="7"/>
      <c r="Q32" s="7"/>
      <c r="R32" s="7" t="s">
        <v>689</v>
      </c>
      <c r="S32" s="7" t="s">
        <v>690</v>
      </c>
      <c r="T32" s="7" t="s">
        <v>652</v>
      </c>
      <c r="U32" s="7" t="s">
        <v>555</v>
      </c>
      <c r="V32" s="7" t="s">
        <v>652</v>
      </c>
      <c r="W32" s="27" t="str">
        <f>IF(N32="Approved",IF(AND(G32&lt;&gt;"",J32&lt;&gt;"",K32&lt;&gt;"",L32&lt;&gt;"",L32&lt;&gt;"Architect draft",M32&lt;&gt;"",P32&lt;&gt;"",Q32&lt;&gt;""),"Yes","No"),IF(N32="Deferred",IF(AND(I32&lt;&gt;"",J32&lt;&gt;"",L32&lt;&gt;"",L32&lt;&gt;"Architect draft",M32&lt;&gt;"",P32&lt;&gt;"",S32&lt;&gt;""),"Yes","No"),"No"))</f>
        <v>No</v>
      </c>
      <c r="X32" s="102" t="s">
        <v>365</v>
      </c>
      <c r="Y32" s="102" t="s">
        <v>366</v>
      </c>
      <c r="Z32" s="109" t="s">
        <v>556</v>
      </c>
    </row>
    <row r="33" spans="1:26" ht="72" customHeight="1">
      <c r="A33" s="30" t="s">
        <v>1</v>
      </c>
      <c r="B33" s="12" t="s">
        <v>115</v>
      </c>
      <c r="C33" s="6" t="s">
        <v>644</v>
      </c>
      <c r="D33" s="6" t="s">
        <v>116</v>
      </c>
      <c r="E33" s="6" t="s">
        <v>691</v>
      </c>
      <c r="F33" s="6" t="s">
        <v>117</v>
      </c>
      <c r="G33" s="6"/>
      <c r="H33" s="6"/>
      <c r="I33" s="6"/>
      <c r="J33" s="6" t="s">
        <v>95</v>
      </c>
      <c r="K33" s="6" t="s">
        <v>67</v>
      </c>
      <c r="L33" s="6"/>
      <c r="M33" s="26"/>
      <c r="N33" s="25" t="s">
        <v>551</v>
      </c>
      <c r="O33" s="26"/>
      <c r="P33" s="6"/>
      <c r="Q33" s="6"/>
      <c r="R33" s="6" t="s">
        <v>692</v>
      </c>
      <c r="S33" s="6" t="s">
        <v>693</v>
      </c>
      <c r="T33" s="6" t="s">
        <v>554</v>
      </c>
      <c r="U33" s="6" t="s">
        <v>555</v>
      </c>
      <c r="V33" s="6" t="s">
        <v>554</v>
      </c>
      <c r="W33" s="27" t="str">
        <f>IF(N33="Approved",IF(AND(G33&lt;&gt;"",J33&lt;&gt;"",K33&lt;&gt;"",L33&lt;&gt;"",L33&lt;&gt;"Architect draft",M33&lt;&gt;"",P33&lt;&gt;"",Q33&lt;&gt;""),"Yes","No"),IF(N33="Deferred",IF(AND(I33&lt;&gt;"",J33&lt;&gt;"",L33&lt;&gt;"",L33&lt;&gt;"Architect draft",M33&lt;&gt;"",P33&lt;&gt;"",S33&lt;&gt;""),"Yes","No"),"No"))</f>
        <v>No</v>
      </c>
      <c r="X33" s="102" t="s">
        <v>365</v>
      </c>
      <c r="Y33" s="102" t="s">
        <v>366</v>
      </c>
      <c r="Z33" s="109" t="s">
        <v>556</v>
      </c>
    </row>
    <row r="34" spans="1:26" ht="72" customHeight="1">
      <c r="A34" s="30" t="s">
        <v>1</v>
      </c>
      <c r="B34" s="13" t="s">
        <v>48</v>
      </c>
      <c r="C34" s="7" t="s">
        <v>620</v>
      </c>
      <c r="D34" s="7" t="s">
        <v>497</v>
      </c>
      <c r="E34" s="7" t="s">
        <v>694</v>
      </c>
      <c r="F34" s="7" t="s">
        <v>118</v>
      </c>
      <c r="G34" s="7"/>
      <c r="H34" s="7"/>
      <c r="I34" s="7"/>
      <c r="J34" s="7" t="s">
        <v>60</v>
      </c>
      <c r="K34" s="7" t="s">
        <v>85</v>
      </c>
      <c r="L34" s="7"/>
      <c r="M34" s="28"/>
      <c r="N34" s="25" t="s">
        <v>551</v>
      </c>
      <c r="O34" s="28"/>
      <c r="P34" s="7"/>
      <c r="Q34" s="7"/>
      <c r="R34" s="7" t="s">
        <v>695</v>
      </c>
      <c r="S34" s="7" t="s">
        <v>696</v>
      </c>
      <c r="T34" s="7" t="s">
        <v>652</v>
      </c>
      <c r="U34" s="7" t="s">
        <v>555</v>
      </c>
      <c r="V34" s="7" t="s">
        <v>652</v>
      </c>
      <c r="W34" s="27" t="str">
        <f>IF(N34="Approved",IF(AND(G34&lt;&gt;"",J34&lt;&gt;"",K34&lt;&gt;"",L34&lt;&gt;"",L34&lt;&gt;"Architect draft",M34&lt;&gt;"",P34&lt;&gt;"",Q34&lt;&gt;""),"Yes","No"),IF(N34="Deferred",IF(AND(I34&lt;&gt;"",J34&lt;&gt;"",L34&lt;&gt;"",L34&lt;&gt;"Architect draft",M34&lt;&gt;"",P34&lt;&gt;"",S34&lt;&gt;""),"Yes","No"),"No"))</f>
        <v>No</v>
      </c>
      <c r="X34" s="102" t="s">
        <v>372</v>
      </c>
      <c r="Y34" s="102" t="s">
        <v>373</v>
      </c>
      <c r="Z34" s="109" t="s">
        <v>625</v>
      </c>
    </row>
    <row r="35" spans="1:26" ht="72" customHeight="1">
      <c r="A35" s="30" t="s">
        <v>1</v>
      </c>
      <c r="B35" s="12" t="s">
        <v>119</v>
      </c>
      <c r="C35" s="6" t="s">
        <v>557</v>
      </c>
      <c r="D35" s="6" t="s">
        <v>120</v>
      </c>
      <c r="E35" s="6" t="s">
        <v>697</v>
      </c>
      <c r="F35" s="6" t="s">
        <v>121</v>
      </c>
      <c r="G35" s="6"/>
      <c r="H35" s="6"/>
      <c r="I35" s="6"/>
      <c r="J35" s="6" t="s">
        <v>60</v>
      </c>
      <c r="K35" s="6" t="s">
        <v>646</v>
      </c>
      <c r="L35" s="6"/>
      <c r="M35" s="26"/>
      <c r="N35" s="25" t="s">
        <v>551</v>
      </c>
      <c r="O35" s="26"/>
      <c r="P35" s="6"/>
      <c r="Q35" s="6"/>
      <c r="R35" s="6" t="s">
        <v>698</v>
      </c>
      <c r="S35" s="6" t="s">
        <v>699</v>
      </c>
      <c r="T35" s="6" t="s">
        <v>652</v>
      </c>
      <c r="U35" s="6" t="s">
        <v>555</v>
      </c>
      <c r="V35" s="6" t="s">
        <v>652</v>
      </c>
      <c r="W35" s="27" t="str">
        <f>IF(N35="Approved",IF(AND(G35&lt;&gt;"",J35&lt;&gt;"",K35&lt;&gt;"",L35&lt;&gt;"",L35&lt;&gt;"Architect draft",M35&lt;&gt;"",P35&lt;&gt;"",Q35&lt;&gt;""),"Yes","No"),IF(N35="Deferred",IF(AND(I35&lt;&gt;"",J35&lt;&gt;"",L35&lt;&gt;"",L35&lt;&gt;"Architect draft",M35&lt;&gt;"",P35&lt;&gt;"",S35&lt;&gt;""),"Yes","No"),"No"))</f>
        <v>No</v>
      </c>
      <c r="X35" s="102" t="s">
        <v>374</v>
      </c>
      <c r="Y35" s="102" t="s">
        <v>375</v>
      </c>
      <c r="Z35" s="109" t="s">
        <v>643</v>
      </c>
    </row>
    <row r="36" spans="1:26" ht="72" customHeight="1">
      <c r="A36" s="30" t="s">
        <v>1</v>
      </c>
      <c r="B36" s="13" t="s">
        <v>122</v>
      </c>
      <c r="C36" s="7" t="s">
        <v>636</v>
      </c>
      <c r="D36" s="7" t="s">
        <v>123</v>
      </c>
      <c r="E36" s="7" t="s">
        <v>700</v>
      </c>
      <c r="F36" s="7" t="s">
        <v>124</v>
      </c>
      <c r="G36" s="7"/>
      <c r="H36" s="7"/>
      <c r="I36" s="7"/>
      <c r="J36" s="7" t="s">
        <v>550</v>
      </c>
      <c r="K36" s="7" t="s">
        <v>60</v>
      </c>
      <c r="L36" s="7"/>
      <c r="M36" s="28"/>
      <c r="N36" s="25" t="s">
        <v>551</v>
      </c>
      <c r="O36" s="28"/>
      <c r="P36" s="7"/>
      <c r="Q36" s="7"/>
      <c r="R36" s="7" t="s">
        <v>701</v>
      </c>
      <c r="S36" s="7" t="s">
        <v>702</v>
      </c>
      <c r="T36" s="7" t="s">
        <v>554</v>
      </c>
      <c r="U36" s="7" t="s">
        <v>555</v>
      </c>
      <c r="V36" s="7" t="s">
        <v>554</v>
      </c>
      <c r="W36" s="27" t="str">
        <f>IF(N36="Approved",IF(AND(G36&lt;&gt;"",J36&lt;&gt;"",K36&lt;&gt;"",L36&lt;&gt;"",L36&lt;&gt;"Architect draft",M36&lt;&gt;"",P36&lt;&gt;"",Q36&lt;&gt;""),"Yes","No"),IF(N36="Deferred",IF(AND(I36&lt;&gt;"",J36&lt;&gt;"",L36&lt;&gt;"",L36&lt;&gt;"Architect draft",M36&lt;&gt;"",P36&lt;&gt;"",S36&lt;&gt;""),"Yes","No"),"No"))</f>
        <v>No</v>
      </c>
      <c r="X36" s="102" t="s">
        <v>365</v>
      </c>
      <c r="Y36" s="102" t="s">
        <v>366</v>
      </c>
      <c r="Z36" s="109" t="s">
        <v>556</v>
      </c>
    </row>
    <row r="37" spans="1:26" ht="72" customHeight="1">
      <c r="A37" s="30" t="s">
        <v>1</v>
      </c>
      <c r="B37" s="12" t="s">
        <v>50</v>
      </c>
      <c r="C37" s="6" t="s">
        <v>703</v>
      </c>
      <c r="D37" s="6" t="s">
        <v>704</v>
      </c>
      <c r="E37" s="6" t="s">
        <v>705</v>
      </c>
      <c r="F37" s="6" t="s">
        <v>125</v>
      </c>
      <c r="G37" s="6"/>
      <c r="H37" s="6"/>
      <c r="I37" s="6"/>
      <c r="J37" s="6" t="s">
        <v>60</v>
      </c>
      <c r="K37" s="6" t="s">
        <v>646</v>
      </c>
      <c r="L37" s="6"/>
      <c r="M37" s="26"/>
      <c r="N37" s="25" t="s">
        <v>551</v>
      </c>
      <c r="O37" s="26"/>
      <c r="P37" s="6"/>
      <c r="Q37" s="6"/>
      <c r="R37" s="6" t="s">
        <v>706</v>
      </c>
      <c r="S37" s="6" t="s">
        <v>707</v>
      </c>
      <c r="T37" s="6" t="s">
        <v>69</v>
      </c>
      <c r="U37" s="6" t="s">
        <v>65</v>
      </c>
      <c r="V37" s="6" t="s">
        <v>69</v>
      </c>
      <c r="W37" s="27" t="str">
        <f>IF(N37="Approved",IF(AND(G37&lt;&gt;"",J37&lt;&gt;"",K37&lt;&gt;"",L37&lt;&gt;"",L37&lt;&gt;"Architect draft",M37&lt;&gt;"",P37&lt;&gt;"",Q37&lt;&gt;""),"Yes","No"),IF(N37="Deferred",IF(AND(I37&lt;&gt;"",J37&lt;&gt;"",L37&lt;&gt;"",L37&lt;&gt;"Architect draft",M37&lt;&gt;"",P37&lt;&gt;"",S37&lt;&gt;""),"Yes","No"),"No"))</f>
        <v>No</v>
      </c>
      <c r="X37" s="102" t="s">
        <v>374</v>
      </c>
      <c r="Y37" s="102" t="s">
        <v>375</v>
      </c>
      <c r="Z37" s="109" t="s">
        <v>643</v>
      </c>
    </row>
    <row r="38" spans="1:26" ht="72" customHeight="1">
      <c r="A38" s="30" t="s">
        <v>1</v>
      </c>
      <c r="B38" s="13" t="s">
        <v>126</v>
      </c>
      <c r="C38" s="7" t="s">
        <v>127</v>
      </c>
      <c r="D38" s="7" t="s">
        <v>708</v>
      </c>
      <c r="E38" s="7" t="s">
        <v>709</v>
      </c>
      <c r="F38" s="7" t="s">
        <v>128</v>
      </c>
      <c r="G38" s="7"/>
      <c r="H38" s="7"/>
      <c r="I38" s="7"/>
      <c r="J38" s="7" t="s">
        <v>60</v>
      </c>
      <c r="K38" s="7" t="s">
        <v>646</v>
      </c>
      <c r="L38" s="7"/>
      <c r="M38" s="28"/>
      <c r="N38" s="25" t="s">
        <v>551</v>
      </c>
      <c r="O38" s="28"/>
      <c r="P38" s="7"/>
      <c r="Q38" s="7"/>
      <c r="R38" s="7" t="s">
        <v>710</v>
      </c>
      <c r="S38" s="7" t="s">
        <v>711</v>
      </c>
      <c r="T38" s="7" t="s">
        <v>69</v>
      </c>
      <c r="U38" s="7" t="s">
        <v>65</v>
      </c>
      <c r="V38" s="7" t="s">
        <v>69</v>
      </c>
      <c r="W38" s="27" t="str">
        <f>IF(N38="Approved",IF(AND(G38&lt;&gt;"",J38&lt;&gt;"",K38&lt;&gt;"",L38&lt;&gt;"",L38&lt;&gt;"Architect draft",M38&lt;&gt;"",P38&lt;&gt;"",Q38&lt;&gt;""),"Yes","No"),IF(N38="Deferred",IF(AND(I38&lt;&gt;"",J38&lt;&gt;"",L38&lt;&gt;"",L38&lt;&gt;"Architect draft",M38&lt;&gt;"",P38&lt;&gt;"",S38&lt;&gt;""),"Yes","No"),"No"))</f>
        <v>No</v>
      </c>
      <c r="X38" s="102" t="s">
        <v>372</v>
      </c>
      <c r="Y38" s="102" t="s">
        <v>373</v>
      </c>
      <c r="Z38" s="109" t="s">
        <v>625</v>
      </c>
    </row>
    <row r="39" spans="1:26" ht="72" customHeight="1">
      <c r="A39" s="30" t="s">
        <v>1</v>
      </c>
      <c r="B39" s="12" t="s">
        <v>129</v>
      </c>
      <c r="C39" s="6" t="s">
        <v>586</v>
      </c>
      <c r="D39" s="6" t="s">
        <v>712</v>
      </c>
      <c r="E39" s="6" t="s">
        <v>713</v>
      </c>
      <c r="F39" s="6" t="s">
        <v>130</v>
      </c>
      <c r="G39" s="6"/>
      <c r="H39" s="6"/>
      <c r="I39" s="6"/>
      <c r="J39" s="6" t="s">
        <v>95</v>
      </c>
      <c r="K39" s="6" t="s">
        <v>67</v>
      </c>
      <c r="L39" s="6"/>
      <c r="M39" s="26"/>
      <c r="N39" s="25" t="s">
        <v>551</v>
      </c>
      <c r="O39" s="26"/>
      <c r="P39" s="6"/>
      <c r="Q39" s="6"/>
      <c r="R39" s="6" t="s">
        <v>714</v>
      </c>
      <c r="S39" s="6" t="s">
        <v>715</v>
      </c>
      <c r="T39" s="6" t="s">
        <v>69</v>
      </c>
      <c r="U39" s="6" t="s">
        <v>65</v>
      </c>
      <c r="V39" s="6" t="s">
        <v>69</v>
      </c>
      <c r="W39" s="27" t="str">
        <f>IF(N39="Approved",IF(AND(G39&lt;&gt;"",J39&lt;&gt;"",K39&lt;&gt;"",L39&lt;&gt;"",L39&lt;&gt;"Architect draft",M39&lt;&gt;"",P39&lt;&gt;"",Q39&lt;&gt;""),"Yes","No"),IF(N39="Deferred",IF(AND(I39&lt;&gt;"",J39&lt;&gt;"",L39&lt;&gt;"",L39&lt;&gt;"Architect draft",M39&lt;&gt;"",P39&lt;&gt;"",S39&lt;&gt;""),"Yes","No"),"No"))</f>
        <v>No</v>
      </c>
      <c r="X39" s="102" t="s">
        <v>365</v>
      </c>
      <c r="Y39" s="102" t="s">
        <v>366</v>
      </c>
      <c r="Z39" s="109" t="s">
        <v>556</v>
      </c>
    </row>
    <row r="40" spans="1:26" ht="72" customHeight="1">
      <c r="A40" s="30" t="s">
        <v>1</v>
      </c>
      <c r="B40" s="13" t="s">
        <v>53</v>
      </c>
      <c r="C40" s="7" t="s">
        <v>251</v>
      </c>
      <c r="D40" s="7" t="s">
        <v>716</v>
      </c>
      <c r="E40" s="7" t="s">
        <v>717</v>
      </c>
      <c r="F40" s="7" t="s">
        <v>718</v>
      </c>
      <c r="G40" s="7"/>
      <c r="H40" s="7" t="s">
        <v>131</v>
      </c>
      <c r="I40" s="7"/>
      <c r="J40" s="7" t="s">
        <v>550</v>
      </c>
      <c r="K40" s="7" t="s">
        <v>60</v>
      </c>
      <c r="L40" s="7"/>
      <c r="M40" s="28"/>
      <c r="N40" s="25" t="s">
        <v>551</v>
      </c>
      <c r="O40" s="28"/>
      <c r="P40" s="7"/>
      <c r="Q40" s="7"/>
      <c r="R40" s="7" t="s">
        <v>719</v>
      </c>
      <c r="S40" s="7" t="s">
        <v>720</v>
      </c>
      <c r="T40" s="7" t="s">
        <v>132</v>
      </c>
      <c r="U40" s="7" t="s">
        <v>80</v>
      </c>
      <c r="V40" s="7" t="s">
        <v>74</v>
      </c>
      <c r="W40" s="27" t="str">
        <f>IF(N40="Approved",IF(AND(G40&lt;&gt;"",J40&lt;&gt;"",K40&lt;&gt;"",L40&lt;&gt;"",L40&lt;&gt;"Architect draft",M40&lt;&gt;"",P40&lt;&gt;"",Q40&lt;&gt;""),"Yes","No"),IF(N40="Deferred",IF(AND(I40&lt;&gt;"",J40&lt;&gt;"",L40&lt;&gt;"",L40&lt;&gt;"Architect draft",M40&lt;&gt;"",P40&lt;&gt;"",S40&lt;&gt;""),"Yes","No"),"No"))</f>
        <v>No</v>
      </c>
      <c r="X40" s="102" t="s">
        <v>378</v>
      </c>
      <c r="Y40" s="102" t="s">
        <v>379</v>
      </c>
      <c r="Z40" s="109" t="s">
        <v>721</v>
      </c>
    </row>
    <row r="41" spans="1:26" ht="72" customHeight="1">
      <c r="A41" s="30" t="s">
        <v>1</v>
      </c>
      <c r="B41" s="12" t="s">
        <v>133</v>
      </c>
      <c r="C41" s="6" t="s">
        <v>722</v>
      </c>
      <c r="D41" s="6" t="s">
        <v>723</v>
      </c>
      <c r="E41" s="6" t="s">
        <v>724</v>
      </c>
      <c r="F41" s="6" t="s">
        <v>134</v>
      </c>
      <c r="G41" s="6"/>
      <c r="H41" s="6"/>
      <c r="I41" s="6"/>
      <c r="J41" s="6" t="s">
        <v>60</v>
      </c>
      <c r="K41" s="6" t="s">
        <v>646</v>
      </c>
      <c r="L41" s="6"/>
      <c r="M41" s="26"/>
      <c r="N41" s="25" t="s">
        <v>551</v>
      </c>
      <c r="O41" s="26"/>
      <c r="P41" s="6"/>
      <c r="Q41" s="6"/>
      <c r="R41" s="6" t="s">
        <v>725</v>
      </c>
      <c r="S41" s="6" t="s">
        <v>726</v>
      </c>
      <c r="T41" s="6" t="s">
        <v>69</v>
      </c>
      <c r="U41" s="6" t="s">
        <v>65</v>
      </c>
      <c r="V41" s="6" t="s">
        <v>69</v>
      </c>
      <c r="W41" s="27" t="str">
        <f>IF(N41="Approved",IF(AND(G41&lt;&gt;"",J41&lt;&gt;"",K41&lt;&gt;"",L41&lt;&gt;"",L41&lt;&gt;"Architect draft",M41&lt;&gt;"",P41&lt;&gt;"",Q41&lt;&gt;""),"Yes","No"),IF(N41="Deferred",IF(AND(I41&lt;&gt;"",J41&lt;&gt;"",L41&lt;&gt;"",L41&lt;&gt;"Architect draft",M41&lt;&gt;"",P41&lt;&gt;"",S41&lt;&gt;""),"Yes","No"),"No"))</f>
        <v>No</v>
      </c>
      <c r="X41" s="102" t="s">
        <v>374</v>
      </c>
      <c r="Y41" s="102" t="s">
        <v>375</v>
      </c>
      <c r="Z41" s="109" t="s">
        <v>643</v>
      </c>
    </row>
    <row r="42" spans="1:26" ht="72" customHeight="1">
      <c r="A42" s="30" t="s">
        <v>1</v>
      </c>
      <c r="B42" s="13" t="s">
        <v>135</v>
      </c>
      <c r="C42" s="7" t="s">
        <v>727</v>
      </c>
      <c r="D42" s="7" t="s">
        <v>728</v>
      </c>
      <c r="E42" s="7" t="s">
        <v>729</v>
      </c>
      <c r="F42" s="7" t="s">
        <v>136</v>
      </c>
      <c r="G42" s="7"/>
      <c r="H42" s="7" t="s">
        <v>137</v>
      </c>
      <c r="I42" s="7"/>
      <c r="J42" s="7" t="s">
        <v>550</v>
      </c>
      <c r="K42" s="7" t="s">
        <v>67</v>
      </c>
      <c r="L42" s="7"/>
      <c r="M42" s="28"/>
      <c r="N42" s="25" t="s">
        <v>551</v>
      </c>
      <c r="O42" s="28"/>
      <c r="P42" s="7"/>
      <c r="Q42" s="7"/>
      <c r="R42" s="7" t="s">
        <v>138</v>
      </c>
      <c r="S42" s="7" t="s">
        <v>139</v>
      </c>
      <c r="T42" s="7" t="s">
        <v>140</v>
      </c>
      <c r="U42" s="7" t="s">
        <v>80</v>
      </c>
      <c r="V42" s="7" t="s">
        <v>141</v>
      </c>
      <c r="W42" s="27" t="str">
        <f>IF(N42="Approved",IF(AND(G42&lt;&gt;"",J42&lt;&gt;"",K42&lt;&gt;"",L42&lt;&gt;"",L42&lt;&gt;"Architect draft",M42&lt;&gt;"",P42&lt;&gt;"",Q42&lt;&gt;""),"Yes","No"),IF(N42="Deferred",IF(AND(I42&lt;&gt;"",J42&lt;&gt;"",L42&lt;&gt;"",L42&lt;&gt;"Architect draft",M42&lt;&gt;"",P42&lt;&gt;"",S42&lt;&gt;""),"Yes","No"),"No"))</f>
        <v>No</v>
      </c>
      <c r="X42" s="102" t="s">
        <v>365</v>
      </c>
      <c r="Y42" s="102" t="s">
        <v>369</v>
      </c>
      <c r="Z42" s="109" t="s">
        <v>556</v>
      </c>
    </row>
    <row r="43" spans="1:26" ht="72" customHeight="1">
      <c r="A43" s="30" t="s">
        <v>1</v>
      </c>
      <c r="B43" s="12" t="s">
        <v>142</v>
      </c>
      <c r="C43" s="6" t="s">
        <v>586</v>
      </c>
      <c r="D43" s="6" t="s">
        <v>730</v>
      </c>
      <c r="E43" s="6" t="s">
        <v>731</v>
      </c>
      <c r="F43" s="6" t="s">
        <v>732</v>
      </c>
      <c r="G43" s="6"/>
      <c r="H43" s="6"/>
      <c r="I43" s="6"/>
      <c r="J43" s="6" t="s">
        <v>60</v>
      </c>
      <c r="K43" s="6" t="s">
        <v>646</v>
      </c>
      <c r="L43" s="6"/>
      <c r="M43" s="26"/>
      <c r="N43" s="25" t="s">
        <v>551</v>
      </c>
      <c r="O43" s="26"/>
      <c r="P43" s="6"/>
      <c r="Q43" s="6"/>
      <c r="R43" s="6" t="s">
        <v>733</v>
      </c>
      <c r="S43" s="6" t="s">
        <v>734</v>
      </c>
      <c r="T43" s="6" t="s">
        <v>554</v>
      </c>
      <c r="U43" s="6" t="s">
        <v>100</v>
      </c>
      <c r="V43" s="6" t="s">
        <v>101</v>
      </c>
      <c r="W43" s="27" t="str">
        <f>IF(N43="Approved",IF(AND(G43&lt;&gt;"",J43&lt;&gt;"",K43&lt;&gt;"",L43&lt;&gt;"",L43&lt;&gt;"Architect draft",M43&lt;&gt;"",P43&lt;&gt;"",Q43&lt;&gt;""),"Yes","No"),IF(N43="Deferred",IF(AND(I43&lt;&gt;"",J43&lt;&gt;"",L43&lt;&gt;"",L43&lt;&gt;"Architect draft",M43&lt;&gt;"",P43&lt;&gt;"",S43&lt;&gt;""),"Yes","No"),"No"))</f>
        <v>No</v>
      </c>
      <c r="X43" s="102" t="s">
        <v>367</v>
      </c>
      <c r="Y43" s="102" t="s">
        <v>368</v>
      </c>
      <c r="Z43" s="109" t="s">
        <v>579</v>
      </c>
    </row>
    <row r="44" spans="1:26" ht="72" customHeight="1">
      <c r="A44" s="31" t="s">
        <v>2</v>
      </c>
      <c r="B44" s="13" t="s">
        <v>143</v>
      </c>
      <c r="C44" s="7" t="s">
        <v>687</v>
      </c>
      <c r="D44" s="7" t="s">
        <v>144</v>
      </c>
      <c r="E44" s="7" t="s">
        <v>735</v>
      </c>
      <c r="F44" s="7" t="s">
        <v>145</v>
      </c>
      <c r="G44" s="7"/>
      <c r="H44" s="7"/>
      <c r="I44" s="7"/>
      <c r="J44" s="7" t="s">
        <v>550</v>
      </c>
      <c r="K44" s="7" t="s">
        <v>60</v>
      </c>
      <c r="L44" s="7"/>
      <c r="M44" s="28"/>
      <c r="N44" s="25" t="s">
        <v>551</v>
      </c>
      <c r="O44" s="28"/>
      <c r="P44" s="7"/>
      <c r="Q44" s="7"/>
      <c r="R44" s="7" t="s">
        <v>736</v>
      </c>
      <c r="S44" s="7" t="s">
        <v>737</v>
      </c>
      <c r="T44" s="7" t="s">
        <v>652</v>
      </c>
      <c r="U44" s="7" t="s">
        <v>555</v>
      </c>
      <c r="V44" s="7" t="s">
        <v>652</v>
      </c>
      <c r="W44" s="27" t="str">
        <f>IF(N44="Approved",IF(AND(G44&lt;&gt;"",J44&lt;&gt;"",K44&lt;&gt;"",L44&lt;&gt;"",L44&lt;&gt;"Architect draft",M44&lt;&gt;"",P44&lt;&gt;"",Q44&lt;&gt;""),"Yes","No"),IF(N44="Deferred",IF(AND(I44&lt;&gt;"",J44&lt;&gt;"",L44&lt;&gt;"",L44&lt;&gt;"Architect draft",M44&lt;&gt;"",P44&lt;&gt;"",S44&lt;&gt;""),"Yes","No"),"No"))</f>
        <v>No</v>
      </c>
      <c r="X44" s="102" t="s">
        <v>365</v>
      </c>
      <c r="Y44" s="102" t="s">
        <v>366</v>
      </c>
      <c r="Z44" s="109" t="s">
        <v>556</v>
      </c>
    </row>
    <row r="45" spans="1:26" ht="72" customHeight="1">
      <c r="A45" s="31" t="s">
        <v>2</v>
      </c>
      <c r="B45" s="12" t="s">
        <v>146</v>
      </c>
      <c r="C45" s="6" t="s">
        <v>687</v>
      </c>
      <c r="D45" s="6" t="s">
        <v>147</v>
      </c>
      <c r="E45" s="6" t="s">
        <v>738</v>
      </c>
      <c r="F45" s="6" t="s">
        <v>148</v>
      </c>
      <c r="G45" s="6"/>
      <c r="H45" s="6"/>
      <c r="I45" s="6"/>
      <c r="J45" s="6" t="s">
        <v>60</v>
      </c>
      <c r="K45" s="6" t="s">
        <v>646</v>
      </c>
      <c r="L45" s="6"/>
      <c r="M45" s="26"/>
      <c r="N45" s="25" t="s">
        <v>551</v>
      </c>
      <c r="O45" s="26"/>
      <c r="P45" s="6"/>
      <c r="Q45" s="6"/>
      <c r="R45" s="6" t="s">
        <v>739</v>
      </c>
      <c r="S45" s="6" t="s">
        <v>740</v>
      </c>
      <c r="T45" s="6" t="s">
        <v>741</v>
      </c>
      <c r="U45" s="6" t="s">
        <v>555</v>
      </c>
      <c r="V45" s="6" t="s">
        <v>741</v>
      </c>
      <c r="W45" s="27" t="str">
        <f>IF(N45="Approved",IF(AND(G45&lt;&gt;"",J45&lt;&gt;"",K45&lt;&gt;"",L45&lt;&gt;"",L45&lt;&gt;"Architect draft",M45&lt;&gt;"",P45&lt;&gt;"",Q45&lt;&gt;""),"Yes","No"),IF(N45="Deferred",IF(AND(I45&lt;&gt;"",J45&lt;&gt;"",L45&lt;&gt;"",L45&lt;&gt;"Architect draft",M45&lt;&gt;"",P45&lt;&gt;"",S45&lt;&gt;""),"Yes","No"),"No"))</f>
        <v>No</v>
      </c>
      <c r="X45" s="102" t="s">
        <v>365</v>
      </c>
      <c r="Y45" s="102" t="s">
        <v>366</v>
      </c>
      <c r="Z45" s="109" t="s">
        <v>556</v>
      </c>
    </row>
    <row r="46" spans="1:26" ht="72" customHeight="1">
      <c r="A46" s="31" t="s">
        <v>2</v>
      </c>
      <c r="B46" s="13" t="s">
        <v>149</v>
      </c>
      <c r="C46" s="7" t="s">
        <v>620</v>
      </c>
      <c r="D46" s="7" t="s">
        <v>150</v>
      </c>
      <c r="E46" s="7" t="s">
        <v>742</v>
      </c>
      <c r="F46" s="7" t="s">
        <v>151</v>
      </c>
      <c r="G46" s="7"/>
      <c r="H46" s="7"/>
      <c r="I46" s="7"/>
      <c r="J46" s="7" t="s">
        <v>60</v>
      </c>
      <c r="K46" s="7" t="s">
        <v>85</v>
      </c>
      <c r="L46" s="7"/>
      <c r="M46" s="28"/>
      <c r="N46" s="25" t="s">
        <v>551</v>
      </c>
      <c r="O46" s="28"/>
      <c r="P46" s="7"/>
      <c r="Q46" s="7"/>
      <c r="R46" s="7" t="s">
        <v>739</v>
      </c>
      <c r="S46" s="7" t="s">
        <v>743</v>
      </c>
      <c r="T46" s="7" t="s">
        <v>741</v>
      </c>
      <c r="U46" s="7" t="s">
        <v>555</v>
      </c>
      <c r="V46" s="7" t="s">
        <v>741</v>
      </c>
      <c r="W46" s="27" t="str">
        <f>IF(N46="Approved",IF(AND(G46&lt;&gt;"",J46&lt;&gt;"",K46&lt;&gt;"",L46&lt;&gt;"",L46&lt;&gt;"Architect draft",M46&lt;&gt;"",P46&lt;&gt;"",Q46&lt;&gt;""),"Yes","No"),IF(N46="Deferred",IF(AND(I46&lt;&gt;"",J46&lt;&gt;"",L46&lt;&gt;"",L46&lt;&gt;"Architect draft",M46&lt;&gt;"",P46&lt;&gt;"",S46&lt;&gt;""),"Yes","No"),"No"))</f>
        <v>No</v>
      </c>
      <c r="X46" s="102" t="s">
        <v>372</v>
      </c>
      <c r="Y46" s="102" t="s">
        <v>373</v>
      </c>
      <c r="Z46" s="109" t="s">
        <v>625</v>
      </c>
    </row>
    <row r="47" spans="1:26" ht="72" customHeight="1">
      <c r="A47" s="31" t="s">
        <v>2</v>
      </c>
      <c r="B47" s="12" t="s">
        <v>152</v>
      </c>
      <c r="C47" s="6" t="s">
        <v>666</v>
      </c>
      <c r="D47" s="6" t="s">
        <v>744</v>
      </c>
      <c r="E47" s="6" t="s">
        <v>745</v>
      </c>
      <c r="F47" s="6" t="s">
        <v>153</v>
      </c>
      <c r="G47" s="6"/>
      <c r="H47" s="6"/>
      <c r="I47" s="6"/>
      <c r="J47" s="6" t="s">
        <v>550</v>
      </c>
      <c r="K47" s="6" t="s">
        <v>60</v>
      </c>
      <c r="L47" s="6"/>
      <c r="M47" s="26"/>
      <c r="N47" s="25" t="s">
        <v>551</v>
      </c>
      <c r="O47" s="26"/>
      <c r="P47" s="6"/>
      <c r="Q47" s="6"/>
      <c r="R47" s="6" t="s">
        <v>746</v>
      </c>
      <c r="S47" s="6" t="s">
        <v>747</v>
      </c>
      <c r="T47" s="6" t="s">
        <v>554</v>
      </c>
      <c r="U47" s="6" t="s">
        <v>555</v>
      </c>
      <c r="V47" s="6" t="s">
        <v>554</v>
      </c>
      <c r="W47" s="27" t="str">
        <f>IF(N47="Approved",IF(AND(G47&lt;&gt;"",J47&lt;&gt;"",K47&lt;&gt;"",L47&lt;&gt;"",L47&lt;&gt;"Architect draft",M47&lt;&gt;"",P47&lt;&gt;"",Q47&lt;&gt;""),"Yes","No"),IF(N47="Deferred",IF(AND(I47&lt;&gt;"",J47&lt;&gt;"",L47&lt;&gt;"",L47&lt;&gt;"Architect draft",M47&lt;&gt;"",P47&lt;&gt;"",S47&lt;&gt;""),"Yes","No"),"No"))</f>
        <v>No</v>
      </c>
      <c r="X47" s="102" t="s">
        <v>374</v>
      </c>
      <c r="Y47" s="102" t="s">
        <v>375</v>
      </c>
      <c r="Z47" s="109" t="s">
        <v>643</v>
      </c>
    </row>
    <row r="48" spans="1:26" ht="72" customHeight="1">
      <c r="A48" s="31" t="s">
        <v>2</v>
      </c>
      <c r="B48" s="13" t="s">
        <v>154</v>
      </c>
      <c r="C48" s="7" t="s">
        <v>212</v>
      </c>
      <c r="D48" s="7" t="s">
        <v>155</v>
      </c>
      <c r="E48" s="7" t="s">
        <v>748</v>
      </c>
      <c r="F48" s="7" t="s">
        <v>156</v>
      </c>
      <c r="G48" s="7"/>
      <c r="H48" s="7"/>
      <c r="I48" s="7"/>
      <c r="J48" s="7" t="s">
        <v>550</v>
      </c>
      <c r="K48" s="7" t="s">
        <v>60</v>
      </c>
      <c r="L48" s="7"/>
      <c r="M48" s="28"/>
      <c r="N48" s="25" t="s">
        <v>551</v>
      </c>
      <c r="O48" s="28"/>
      <c r="P48" s="7"/>
      <c r="Q48" s="7"/>
      <c r="R48" s="7" t="s">
        <v>749</v>
      </c>
      <c r="S48" s="7" t="s">
        <v>750</v>
      </c>
      <c r="T48" s="7" t="s">
        <v>751</v>
      </c>
      <c r="U48" s="7" t="s">
        <v>65</v>
      </c>
      <c r="V48" s="7" t="s">
        <v>751</v>
      </c>
      <c r="W48" s="27" t="str">
        <f>IF(N48="Approved",IF(AND(G48&lt;&gt;"",J48&lt;&gt;"",K48&lt;&gt;"",L48&lt;&gt;"",L48&lt;&gt;"Architect draft",M48&lt;&gt;"",P48&lt;&gt;"",Q48&lt;&gt;""),"Yes","No"),IF(N48="Deferred",IF(AND(I48&lt;&gt;"",J48&lt;&gt;"",L48&lt;&gt;"",L48&lt;&gt;"Architect draft",M48&lt;&gt;"",P48&lt;&gt;"",S48&lt;&gt;""),"Yes","No"),"No"))</f>
        <v>No</v>
      </c>
      <c r="X48" s="102" t="s">
        <v>374</v>
      </c>
      <c r="Y48" s="102" t="s">
        <v>375</v>
      </c>
      <c r="Z48" s="109" t="s">
        <v>643</v>
      </c>
    </row>
    <row r="49" spans="1:26" ht="72" customHeight="1">
      <c r="A49" s="31" t="s">
        <v>2</v>
      </c>
      <c r="B49" s="12" t="s">
        <v>157</v>
      </c>
      <c r="C49" s="6" t="s">
        <v>557</v>
      </c>
      <c r="D49" s="6" t="s">
        <v>158</v>
      </c>
      <c r="E49" s="6" t="s">
        <v>752</v>
      </c>
      <c r="F49" s="6" t="s">
        <v>159</v>
      </c>
      <c r="G49" s="6"/>
      <c r="H49" s="6"/>
      <c r="I49" s="6"/>
      <c r="J49" s="6" t="s">
        <v>60</v>
      </c>
      <c r="K49" s="6" t="s">
        <v>646</v>
      </c>
      <c r="L49" s="6"/>
      <c r="M49" s="26"/>
      <c r="N49" s="25" t="s">
        <v>551</v>
      </c>
      <c r="O49" s="26"/>
      <c r="P49" s="6"/>
      <c r="Q49" s="6"/>
      <c r="R49" s="6" t="s">
        <v>753</v>
      </c>
      <c r="S49" s="6" t="s">
        <v>754</v>
      </c>
      <c r="T49" s="6" t="s">
        <v>741</v>
      </c>
      <c r="U49" s="6" t="s">
        <v>555</v>
      </c>
      <c r="V49" s="6" t="s">
        <v>741</v>
      </c>
      <c r="W49" s="27" t="str">
        <f>IF(N49="Approved",IF(AND(G49&lt;&gt;"",J49&lt;&gt;"",K49&lt;&gt;"",L49&lt;&gt;"",L49&lt;&gt;"Architect draft",M49&lt;&gt;"",P49&lt;&gt;"",Q49&lt;&gt;""),"Yes","No"),IF(N49="Deferred",IF(AND(I49&lt;&gt;"",J49&lt;&gt;"",L49&lt;&gt;"",L49&lt;&gt;"Architect draft",M49&lt;&gt;"",P49&lt;&gt;"",S49&lt;&gt;""),"Yes","No"),"No"))</f>
        <v>No</v>
      </c>
      <c r="X49" s="102" t="s">
        <v>365</v>
      </c>
      <c r="Y49" s="102" t="s">
        <v>366</v>
      </c>
      <c r="Z49" s="109" t="s">
        <v>556</v>
      </c>
    </row>
    <row r="50" spans="1:26" ht="72" customHeight="1">
      <c r="A50" s="31" t="s">
        <v>2</v>
      </c>
      <c r="B50" s="13" t="s">
        <v>160</v>
      </c>
      <c r="C50" s="7" t="s">
        <v>727</v>
      </c>
      <c r="D50" s="7" t="s">
        <v>161</v>
      </c>
      <c r="E50" s="7" t="s">
        <v>755</v>
      </c>
      <c r="F50" s="7" t="s">
        <v>162</v>
      </c>
      <c r="G50" s="7"/>
      <c r="H50" s="7"/>
      <c r="I50" s="7"/>
      <c r="J50" s="7" t="s">
        <v>550</v>
      </c>
      <c r="K50" s="7" t="s">
        <v>60</v>
      </c>
      <c r="L50" s="7"/>
      <c r="M50" s="28"/>
      <c r="N50" s="25" t="s">
        <v>551</v>
      </c>
      <c r="O50" s="28"/>
      <c r="P50" s="7"/>
      <c r="Q50" s="7"/>
      <c r="R50" s="7" t="s">
        <v>756</v>
      </c>
      <c r="S50" s="7" t="s">
        <v>757</v>
      </c>
      <c r="T50" s="7" t="s">
        <v>741</v>
      </c>
      <c r="U50" s="7" t="s">
        <v>555</v>
      </c>
      <c r="V50" s="7" t="s">
        <v>741</v>
      </c>
      <c r="W50" s="27" t="str">
        <f>IF(N50="Approved",IF(AND(G50&lt;&gt;"",J50&lt;&gt;"",K50&lt;&gt;"",L50&lt;&gt;"",L50&lt;&gt;"Architect draft",M50&lt;&gt;"",P50&lt;&gt;"",Q50&lt;&gt;""),"Yes","No"),IF(N50="Deferred",IF(AND(I50&lt;&gt;"",J50&lt;&gt;"",L50&lt;&gt;"",L50&lt;&gt;"Architect draft",M50&lt;&gt;"",P50&lt;&gt;"",S50&lt;&gt;""),"Yes","No"),"No"))</f>
        <v>No</v>
      </c>
      <c r="X50" s="102" t="s">
        <v>365</v>
      </c>
      <c r="Y50" s="102" t="s">
        <v>366</v>
      </c>
      <c r="Z50" s="109" t="s">
        <v>556</v>
      </c>
    </row>
    <row r="51" spans="1:26" ht="72" customHeight="1">
      <c r="A51" s="31" t="s">
        <v>2</v>
      </c>
      <c r="B51" s="12" t="s">
        <v>163</v>
      </c>
      <c r="C51" s="6" t="s">
        <v>687</v>
      </c>
      <c r="D51" s="6" t="s">
        <v>164</v>
      </c>
      <c r="E51" s="6" t="s">
        <v>758</v>
      </c>
      <c r="F51" s="6" t="s">
        <v>165</v>
      </c>
      <c r="G51" s="6"/>
      <c r="H51" s="6"/>
      <c r="I51" s="6"/>
      <c r="J51" s="6" t="s">
        <v>60</v>
      </c>
      <c r="K51" s="6" t="s">
        <v>646</v>
      </c>
      <c r="L51" s="6"/>
      <c r="M51" s="26"/>
      <c r="N51" s="25" t="s">
        <v>551</v>
      </c>
      <c r="O51" s="26"/>
      <c r="P51" s="6"/>
      <c r="Q51" s="6"/>
      <c r="R51" s="6" t="s">
        <v>759</v>
      </c>
      <c r="S51" s="6" t="s">
        <v>760</v>
      </c>
      <c r="T51" s="6" t="s">
        <v>741</v>
      </c>
      <c r="U51" s="6" t="s">
        <v>555</v>
      </c>
      <c r="V51" s="6" t="s">
        <v>741</v>
      </c>
      <c r="W51" s="27" t="str">
        <f>IF(N51="Approved",IF(AND(G51&lt;&gt;"",J51&lt;&gt;"",K51&lt;&gt;"",L51&lt;&gt;"",L51&lt;&gt;"Architect draft",M51&lt;&gt;"",P51&lt;&gt;"",Q51&lt;&gt;""),"Yes","No"),IF(N51="Deferred",IF(AND(I51&lt;&gt;"",J51&lt;&gt;"",L51&lt;&gt;"",L51&lt;&gt;"Architect draft",M51&lt;&gt;"",P51&lt;&gt;"",S51&lt;&gt;""),"Yes","No"),"No"))</f>
        <v>No</v>
      </c>
      <c r="X51" s="102" t="s">
        <v>365</v>
      </c>
      <c r="Y51" s="102" t="s">
        <v>366</v>
      </c>
      <c r="Z51" s="109" t="s">
        <v>556</v>
      </c>
    </row>
    <row r="52" spans="1:26" ht="72" customHeight="1">
      <c r="A52" s="31" t="s">
        <v>2</v>
      </c>
      <c r="B52" s="13" t="s">
        <v>166</v>
      </c>
      <c r="C52" s="7" t="s">
        <v>251</v>
      </c>
      <c r="D52" s="7" t="s">
        <v>761</v>
      </c>
      <c r="E52" s="7" t="s">
        <v>762</v>
      </c>
      <c r="F52" s="7" t="s">
        <v>167</v>
      </c>
      <c r="G52" s="7"/>
      <c r="H52" s="7"/>
      <c r="I52" s="7"/>
      <c r="J52" s="7" t="s">
        <v>550</v>
      </c>
      <c r="K52" s="7" t="s">
        <v>60</v>
      </c>
      <c r="L52" s="7"/>
      <c r="M52" s="28"/>
      <c r="N52" s="25" t="s">
        <v>551</v>
      </c>
      <c r="O52" s="28"/>
      <c r="P52" s="7"/>
      <c r="Q52" s="7"/>
      <c r="R52" s="7" t="s">
        <v>763</v>
      </c>
      <c r="S52" s="7" t="s">
        <v>764</v>
      </c>
      <c r="T52" s="7" t="s">
        <v>652</v>
      </c>
      <c r="U52" s="7" t="s">
        <v>555</v>
      </c>
      <c r="V52" s="7" t="s">
        <v>652</v>
      </c>
      <c r="W52" s="27" t="str">
        <f>IF(N52="Approved",IF(AND(G52&lt;&gt;"",J52&lt;&gt;"",K52&lt;&gt;"",L52&lt;&gt;"",L52&lt;&gt;"Architect draft",M52&lt;&gt;"",P52&lt;&gt;"",Q52&lt;&gt;""),"Yes","No"),IF(N52="Deferred",IF(AND(I52&lt;&gt;"",J52&lt;&gt;"",L52&lt;&gt;"",L52&lt;&gt;"Architect draft",M52&lt;&gt;"",P52&lt;&gt;"",S52&lt;&gt;""),"Yes","No"),"No"))</f>
        <v>No</v>
      </c>
      <c r="X52" s="102" t="s">
        <v>378</v>
      </c>
      <c r="Y52" s="102" t="s">
        <v>379</v>
      </c>
      <c r="Z52" s="109" t="s">
        <v>721</v>
      </c>
    </row>
    <row r="53" spans="1:26" ht="72" customHeight="1">
      <c r="A53" s="31" t="s">
        <v>2</v>
      </c>
      <c r="B53" s="12" t="s">
        <v>168</v>
      </c>
      <c r="C53" s="6" t="s">
        <v>592</v>
      </c>
      <c r="D53" s="6" t="s">
        <v>169</v>
      </c>
      <c r="E53" s="6" t="s">
        <v>765</v>
      </c>
      <c r="F53" s="6" t="s">
        <v>170</v>
      </c>
      <c r="G53" s="6"/>
      <c r="H53" s="6"/>
      <c r="I53" s="6"/>
      <c r="J53" s="6" t="s">
        <v>550</v>
      </c>
      <c r="K53" s="6" t="s">
        <v>60</v>
      </c>
      <c r="L53" s="6"/>
      <c r="M53" s="26"/>
      <c r="N53" s="25" t="s">
        <v>551</v>
      </c>
      <c r="O53" s="26"/>
      <c r="P53" s="6"/>
      <c r="Q53" s="6"/>
      <c r="R53" s="6" t="s">
        <v>766</v>
      </c>
      <c r="S53" s="6" t="s">
        <v>767</v>
      </c>
      <c r="T53" s="6" t="s">
        <v>741</v>
      </c>
      <c r="U53" s="6" t="s">
        <v>555</v>
      </c>
      <c r="V53" s="6" t="s">
        <v>741</v>
      </c>
      <c r="W53" s="27" t="str">
        <f>IF(N53="Approved",IF(AND(G53&lt;&gt;"",J53&lt;&gt;"",K53&lt;&gt;"",L53&lt;&gt;"",L53&lt;&gt;"Architect draft",M53&lt;&gt;"",P53&lt;&gt;"",Q53&lt;&gt;""),"Yes","No"),IF(N53="Deferred",IF(AND(I53&lt;&gt;"",J53&lt;&gt;"",L53&lt;&gt;"",L53&lt;&gt;"Architect draft",M53&lt;&gt;"",P53&lt;&gt;"",S53&lt;&gt;""),"Yes","No"),"No"))</f>
        <v>No</v>
      </c>
      <c r="X53" s="102" t="s">
        <v>367</v>
      </c>
      <c r="Y53" s="102" t="s">
        <v>368</v>
      </c>
      <c r="Z53" s="109" t="s">
        <v>579</v>
      </c>
    </row>
    <row r="54" spans="1:26" ht="72" customHeight="1">
      <c r="A54" s="33" t="s">
        <v>2</v>
      </c>
      <c r="B54" s="34" t="s">
        <v>171</v>
      </c>
      <c r="C54" s="32" t="s">
        <v>631</v>
      </c>
      <c r="D54" s="32" t="s">
        <v>768</v>
      </c>
      <c r="E54" s="32" t="s">
        <v>769</v>
      </c>
      <c r="F54" s="32" t="s">
        <v>172</v>
      </c>
      <c r="G54" s="32"/>
      <c r="H54" s="32"/>
      <c r="I54" s="32"/>
      <c r="J54" s="32" t="s">
        <v>550</v>
      </c>
      <c r="K54" s="32" t="s">
        <v>60</v>
      </c>
      <c r="L54" s="32"/>
      <c r="M54" s="36"/>
      <c r="N54" s="35" t="s">
        <v>551</v>
      </c>
      <c r="O54" s="36"/>
      <c r="P54" s="32"/>
      <c r="Q54" s="32"/>
      <c r="R54" s="32" t="s">
        <v>770</v>
      </c>
      <c r="S54" s="32" t="s">
        <v>771</v>
      </c>
      <c r="T54" s="32" t="s">
        <v>69</v>
      </c>
      <c r="U54" s="32" t="s">
        <v>65</v>
      </c>
      <c r="V54" s="32" t="s">
        <v>69</v>
      </c>
      <c r="W54" s="37" t="str">
        <f>IF(N54="Approved",IF(AND(G54&lt;&gt;"",J54&lt;&gt;"",K54&lt;&gt;"",L54&lt;&gt;"",L54&lt;&gt;"Architect draft",M54&lt;&gt;"",P54&lt;&gt;"",Q54&lt;&gt;""),"Yes","No"),IF(N54="Deferred",IF(AND(I54&lt;&gt;"",J54&lt;&gt;"",L54&lt;&gt;"",L54&lt;&gt;"Architect draft",M54&lt;&gt;"",P54&lt;&gt;"",S54&lt;&gt;""),"Yes","No"),"No"))</f>
        <v>No</v>
      </c>
      <c r="X54" s="102" t="s">
        <v>374</v>
      </c>
      <c r="Y54" s="102" t="s">
        <v>375</v>
      </c>
      <c r="Z54" s="109" t="s">
        <v>643</v>
      </c>
    </row>
  </sheetData>
  <mergeCells count="6">
    <mergeCell ref="B4:G4"/>
    <mergeCell ref="H4:N4"/>
    <mergeCell ref="O4:W4"/>
    <mergeCell ref="A1:Z1"/>
    <mergeCell ref="A2:Z2"/>
    <mergeCell ref="A3:Z3"/>
  </mergeCells>
  <dataValidations count="1">
    <dataValidation type="list" sqref="X6:X54" xr:uid="{00000000-0002-0000-0200-000000000000}">
      <formula1>"Foundation,Identity &amp; Access,Data &amp; Persistence,Integrations &amp; Background Work,Deployment &amp; Operations,UI, Localization &amp; Quality,Feature-specific"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0"/>
  <sheetViews>
    <sheetView showGridLines="0" workbookViewId="0"/>
  </sheetViews>
  <sheetFormatPr defaultRowHeight="14.25"/>
  <cols>
    <col min="1" max="1" width="15" customWidth="1"/>
    <col min="2" max="2" width="24" customWidth="1"/>
    <col min="3" max="3" width="38" customWidth="1"/>
    <col min="4" max="4" width="30" customWidth="1"/>
    <col min="5" max="6" width="52" customWidth="1"/>
    <col min="7" max="7" width="20" customWidth="1"/>
    <col min="8" max="8" width="28" customWidth="1"/>
  </cols>
  <sheetData>
    <row r="1" spans="1:8" ht="27.95" customHeight="1">
      <c r="A1" s="131" t="s">
        <v>173</v>
      </c>
      <c r="B1" s="132"/>
      <c r="C1" s="132"/>
      <c r="D1" s="132"/>
      <c r="E1" s="132"/>
      <c r="F1" s="132"/>
      <c r="G1" s="132"/>
      <c r="H1" s="132"/>
    </row>
    <row r="2" spans="1:8" ht="38.1" customHeight="1">
      <c r="A2" s="133" t="s">
        <v>380</v>
      </c>
      <c r="B2" s="132"/>
      <c r="C2" s="132"/>
      <c r="D2" s="132"/>
      <c r="E2" s="132"/>
      <c r="F2" s="132"/>
      <c r="G2" s="132"/>
      <c r="H2" s="132"/>
    </row>
    <row r="3" spans="1:8">
      <c r="A3" s="76"/>
      <c r="B3" s="76"/>
      <c r="C3" s="76"/>
      <c r="D3" s="76"/>
      <c r="E3" s="76"/>
      <c r="F3" s="76"/>
      <c r="G3" s="76"/>
      <c r="H3" s="76"/>
    </row>
    <row r="4" spans="1:8">
      <c r="A4" s="77" t="s">
        <v>174</v>
      </c>
      <c r="B4" s="77" t="s">
        <v>175</v>
      </c>
      <c r="C4" s="77" t="s">
        <v>176</v>
      </c>
      <c r="D4" s="77" t="s">
        <v>177</v>
      </c>
      <c r="E4" s="77" t="s">
        <v>178</v>
      </c>
      <c r="F4" s="77" t="s">
        <v>179</v>
      </c>
      <c r="G4" s="77" t="s">
        <v>180</v>
      </c>
      <c r="H4" s="77" t="s">
        <v>181</v>
      </c>
    </row>
    <row r="5" spans="1:8">
      <c r="A5" s="78">
        <v>12</v>
      </c>
      <c r="B5" s="78">
        <v>0</v>
      </c>
      <c r="C5" s="78">
        <v>12</v>
      </c>
      <c r="D5" s="79">
        <v>0</v>
      </c>
      <c r="E5" s="78" t="s">
        <v>176</v>
      </c>
      <c r="F5" s="78" t="s">
        <v>182</v>
      </c>
      <c r="G5" s="78" t="s">
        <v>183</v>
      </c>
      <c r="H5" s="78" t="s">
        <v>184</v>
      </c>
    </row>
    <row r="6" spans="1:8">
      <c r="A6" s="76"/>
      <c r="B6" s="76"/>
      <c r="C6" s="76"/>
      <c r="D6" s="76"/>
      <c r="E6" s="76"/>
      <c r="F6" s="76"/>
      <c r="G6" s="76"/>
      <c r="H6" s="76"/>
    </row>
    <row r="7" spans="1:8" ht="33.950000000000003" customHeight="1">
      <c r="A7" s="80" t="s">
        <v>185</v>
      </c>
      <c r="B7" s="80" t="s">
        <v>186</v>
      </c>
      <c r="C7" s="80" t="s">
        <v>187</v>
      </c>
      <c r="D7" s="80" t="s">
        <v>188</v>
      </c>
      <c r="E7" s="80" t="s">
        <v>189</v>
      </c>
      <c r="F7" s="80" t="s">
        <v>381</v>
      </c>
      <c r="G7" s="80" t="s">
        <v>190</v>
      </c>
      <c r="H7" s="80" t="s">
        <v>191</v>
      </c>
    </row>
    <row r="8" spans="1:8" ht="66" customHeight="1">
      <c r="A8" s="81" t="s">
        <v>192</v>
      </c>
      <c r="B8" s="82" t="s">
        <v>193</v>
      </c>
      <c r="C8" s="82" t="s">
        <v>194</v>
      </c>
      <c r="D8" s="82" t="s">
        <v>195</v>
      </c>
      <c r="E8" s="82" t="s">
        <v>196</v>
      </c>
      <c r="F8" s="82" t="s">
        <v>197</v>
      </c>
      <c r="G8" s="83" t="s">
        <v>176</v>
      </c>
      <c r="H8" s="84" t="s">
        <v>198</v>
      </c>
    </row>
    <row r="9" spans="1:8" ht="66" customHeight="1">
      <c r="A9" s="85" t="s">
        <v>199</v>
      </c>
      <c r="B9" s="86" t="s">
        <v>200</v>
      </c>
      <c r="C9" s="86" t="s">
        <v>201</v>
      </c>
      <c r="D9" s="86" t="s">
        <v>195</v>
      </c>
      <c r="E9" s="86" t="s">
        <v>196</v>
      </c>
      <c r="F9" s="86" t="s">
        <v>197</v>
      </c>
      <c r="G9" s="87" t="s">
        <v>176</v>
      </c>
      <c r="H9" s="88" t="s">
        <v>198</v>
      </c>
    </row>
    <row r="10" spans="1:8" ht="66" customHeight="1">
      <c r="A10" s="85" t="s">
        <v>202</v>
      </c>
      <c r="B10" s="86" t="s">
        <v>203</v>
      </c>
      <c r="C10" s="86" t="s">
        <v>204</v>
      </c>
      <c r="D10" s="86" t="s">
        <v>195</v>
      </c>
      <c r="E10" s="86" t="s">
        <v>196</v>
      </c>
      <c r="F10" s="86" t="s">
        <v>197</v>
      </c>
      <c r="G10" s="87" t="s">
        <v>176</v>
      </c>
      <c r="H10" s="88" t="s">
        <v>198</v>
      </c>
    </row>
    <row r="11" spans="1:8" ht="66" customHeight="1">
      <c r="A11" s="85" t="s">
        <v>205</v>
      </c>
      <c r="B11" s="86" t="s">
        <v>206</v>
      </c>
      <c r="C11" s="86" t="s">
        <v>207</v>
      </c>
      <c r="D11" s="86" t="s">
        <v>195</v>
      </c>
      <c r="E11" s="86" t="s">
        <v>196</v>
      </c>
      <c r="F11" s="86" t="s">
        <v>197</v>
      </c>
      <c r="G11" s="87" t="s">
        <v>176</v>
      </c>
      <c r="H11" s="88" t="s">
        <v>198</v>
      </c>
    </row>
    <row r="12" spans="1:8" ht="66" customHeight="1">
      <c r="A12" s="85" t="s">
        <v>208</v>
      </c>
      <c r="B12" s="86" t="s">
        <v>209</v>
      </c>
      <c r="C12" s="86" t="s">
        <v>210</v>
      </c>
      <c r="D12" s="86" t="s">
        <v>195</v>
      </c>
      <c r="E12" s="86" t="s">
        <v>196</v>
      </c>
      <c r="F12" s="86" t="s">
        <v>197</v>
      </c>
      <c r="G12" s="87" t="s">
        <v>176</v>
      </c>
      <c r="H12" s="88" t="s">
        <v>198</v>
      </c>
    </row>
    <row r="13" spans="1:8" ht="66" customHeight="1">
      <c r="A13" s="85" t="s">
        <v>211</v>
      </c>
      <c r="B13" s="86" t="s">
        <v>212</v>
      </c>
      <c r="C13" s="86" t="s">
        <v>213</v>
      </c>
      <c r="D13" s="86" t="s">
        <v>195</v>
      </c>
      <c r="E13" s="86" t="s">
        <v>196</v>
      </c>
      <c r="F13" s="86" t="s">
        <v>197</v>
      </c>
      <c r="G13" s="87" t="s">
        <v>176</v>
      </c>
      <c r="H13" s="88" t="s">
        <v>198</v>
      </c>
    </row>
    <row r="14" spans="1:8" ht="66" customHeight="1">
      <c r="A14" s="85" t="s">
        <v>214</v>
      </c>
      <c r="B14" s="86" t="s">
        <v>215</v>
      </c>
      <c r="C14" s="86" t="s">
        <v>216</v>
      </c>
      <c r="D14" s="86" t="s">
        <v>195</v>
      </c>
      <c r="E14" s="86" t="s">
        <v>196</v>
      </c>
      <c r="F14" s="86" t="s">
        <v>197</v>
      </c>
      <c r="G14" s="87" t="s">
        <v>176</v>
      </c>
      <c r="H14" s="88" t="s">
        <v>198</v>
      </c>
    </row>
    <row r="15" spans="1:8" ht="66" customHeight="1">
      <c r="A15" s="85" t="s">
        <v>217</v>
      </c>
      <c r="B15" s="86" t="s">
        <v>218</v>
      </c>
      <c r="C15" s="86" t="s">
        <v>219</v>
      </c>
      <c r="D15" s="86" t="s">
        <v>195</v>
      </c>
      <c r="E15" s="86" t="s">
        <v>196</v>
      </c>
      <c r="F15" s="86" t="s">
        <v>197</v>
      </c>
      <c r="G15" s="87" t="s">
        <v>176</v>
      </c>
      <c r="H15" s="88" t="s">
        <v>198</v>
      </c>
    </row>
    <row r="16" spans="1:8" ht="66" customHeight="1">
      <c r="A16" s="85" t="s">
        <v>220</v>
      </c>
      <c r="B16" s="86" t="s">
        <v>221</v>
      </c>
      <c r="C16" s="86" t="s">
        <v>222</v>
      </c>
      <c r="D16" s="86" t="s">
        <v>195</v>
      </c>
      <c r="E16" s="86" t="s">
        <v>196</v>
      </c>
      <c r="F16" s="86" t="s">
        <v>197</v>
      </c>
      <c r="G16" s="87" t="s">
        <v>176</v>
      </c>
      <c r="H16" s="88" t="s">
        <v>198</v>
      </c>
    </row>
    <row r="17" spans="1:8" ht="66" customHeight="1">
      <c r="A17" s="85" t="s">
        <v>223</v>
      </c>
      <c r="B17" s="86" t="s">
        <v>224</v>
      </c>
      <c r="C17" s="86" t="s">
        <v>225</v>
      </c>
      <c r="D17" s="86" t="s">
        <v>195</v>
      </c>
      <c r="E17" s="86" t="s">
        <v>196</v>
      </c>
      <c r="F17" s="86" t="s">
        <v>197</v>
      </c>
      <c r="G17" s="87" t="s">
        <v>176</v>
      </c>
      <c r="H17" s="88" t="s">
        <v>198</v>
      </c>
    </row>
    <row r="18" spans="1:8" ht="66" customHeight="1">
      <c r="A18" s="85" t="s">
        <v>226</v>
      </c>
      <c r="B18" s="86" t="s">
        <v>227</v>
      </c>
      <c r="C18" s="86" t="s">
        <v>228</v>
      </c>
      <c r="D18" s="86" t="s">
        <v>195</v>
      </c>
      <c r="E18" s="86" t="s">
        <v>196</v>
      </c>
      <c r="F18" s="86" t="s">
        <v>197</v>
      </c>
      <c r="G18" s="87" t="s">
        <v>176</v>
      </c>
      <c r="H18" s="88" t="s">
        <v>198</v>
      </c>
    </row>
    <row r="19" spans="1:8" ht="66" customHeight="1">
      <c r="A19" s="89" t="s">
        <v>229</v>
      </c>
      <c r="B19" s="90" t="s">
        <v>230</v>
      </c>
      <c r="C19" s="90" t="s">
        <v>231</v>
      </c>
      <c r="D19" s="90" t="s">
        <v>195</v>
      </c>
      <c r="E19" s="90" t="s">
        <v>196</v>
      </c>
      <c r="F19" s="90" t="s">
        <v>197</v>
      </c>
      <c r="G19" s="91" t="s">
        <v>176</v>
      </c>
      <c r="H19" s="92" t="s">
        <v>198</v>
      </c>
    </row>
    <row r="20" spans="1:8">
      <c r="A20" s="76"/>
      <c r="B20" s="76"/>
      <c r="C20" s="76"/>
      <c r="D20" s="76"/>
      <c r="E20" s="76"/>
      <c r="F20" s="76"/>
      <c r="G20" s="76"/>
      <c r="H20" s="76"/>
    </row>
    <row r="21" spans="1:8">
      <c r="A21" s="76"/>
      <c r="B21" s="76"/>
      <c r="C21" s="76"/>
      <c r="D21" s="76"/>
      <c r="E21" s="76"/>
      <c r="F21" s="76"/>
      <c r="G21" s="76"/>
      <c r="H21" s="76"/>
    </row>
    <row r="22" spans="1:8" ht="26.1" customHeight="1">
      <c r="A22" s="134" t="s">
        <v>382</v>
      </c>
      <c r="B22" s="132"/>
      <c r="C22" s="132"/>
      <c r="D22" s="132"/>
      <c r="E22" s="132"/>
      <c r="F22" s="132"/>
      <c r="G22" s="132"/>
      <c r="H22" s="132"/>
    </row>
    <row r="23" spans="1:8" ht="32.1" customHeight="1">
      <c r="A23" s="80" t="s">
        <v>232</v>
      </c>
      <c r="B23" s="80" t="s">
        <v>233</v>
      </c>
      <c r="C23" s="80" t="s">
        <v>234</v>
      </c>
      <c r="D23" s="80" t="s">
        <v>235</v>
      </c>
      <c r="E23" s="76"/>
      <c r="F23" s="76"/>
      <c r="G23" s="76"/>
      <c r="H23" s="76"/>
    </row>
    <row r="24" spans="1:8" ht="54" customHeight="1">
      <c r="A24" s="93" t="s">
        <v>236</v>
      </c>
      <c r="B24" s="94" t="s">
        <v>237</v>
      </c>
      <c r="C24" s="94" t="s">
        <v>383</v>
      </c>
      <c r="D24" s="95" t="s">
        <v>238</v>
      </c>
      <c r="E24" s="76"/>
      <c r="F24" s="76"/>
      <c r="G24" s="76"/>
      <c r="H24" s="76"/>
    </row>
    <row r="25" spans="1:8" ht="54" customHeight="1">
      <c r="A25" s="96" t="s">
        <v>221</v>
      </c>
      <c r="B25" s="97" t="s">
        <v>239</v>
      </c>
      <c r="C25" s="97" t="s">
        <v>383</v>
      </c>
      <c r="D25" s="98" t="s">
        <v>240</v>
      </c>
      <c r="E25" s="76"/>
      <c r="F25" s="76"/>
      <c r="G25" s="76"/>
      <c r="H25" s="76"/>
    </row>
    <row r="26" spans="1:8" ht="54" customHeight="1">
      <c r="A26" s="96" t="s">
        <v>215</v>
      </c>
      <c r="B26" s="97" t="s">
        <v>241</v>
      </c>
      <c r="C26" s="97" t="s">
        <v>384</v>
      </c>
      <c r="D26" s="98" t="s">
        <v>242</v>
      </c>
      <c r="E26" s="76"/>
      <c r="F26" s="76"/>
      <c r="G26" s="76"/>
      <c r="H26" s="76"/>
    </row>
    <row r="27" spans="1:8" ht="54" customHeight="1">
      <c r="A27" s="96" t="s">
        <v>243</v>
      </c>
      <c r="B27" s="97" t="s">
        <v>244</v>
      </c>
      <c r="C27" s="97" t="s">
        <v>383</v>
      </c>
      <c r="D27" s="98" t="s">
        <v>245</v>
      </c>
      <c r="E27" s="76"/>
      <c r="F27" s="76"/>
      <c r="G27" s="76"/>
      <c r="H27" s="76"/>
    </row>
    <row r="28" spans="1:8" ht="54" customHeight="1">
      <c r="A28" s="96" t="s">
        <v>41</v>
      </c>
      <c r="B28" s="97" t="s">
        <v>246</v>
      </c>
      <c r="C28" s="97" t="s">
        <v>385</v>
      </c>
      <c r="D28" s="98" t="s">
        <v>247</v>
      </c>
      <c r="E28" s="76"/>
      <c r="F28" s="76"/>
      <c r="G28" s="76"/>
      <c r="H28" s="76"/>
    </row>
    <row r="29" spans="1:8" ht="54" customHeight="1">
      <c r="A29" s="96" t="s">
        <v>248</v>
      </c>
      <c r="B29" s="97" t="s">
        <v>249</v>
      </c>
      <c r="C29" s="97" t="s">
        <v>386</v>
      </c>
      <c r="D29" s="98" t="s">
        <v>250</v>
      </c>
      <c r="E29" s="76"/>
      <c r="F29" s="76"/>
      <c r="G29" s="76"/>
      <c r="H29" s="76"/>
    </row>
    <row r="30" spans="1:8" ht="54" customHeight="1">
      <c r="A30" s="99" t="s">
        <v>251</v>
      </c>
      <c r="B30" s="100" t="s">
        <v>252</v>
      </c>
      <c r="C30" s="100" t="s">
        <v>383</v>
      </c>
      <c r="D30" s="101" t="s">
        <v>253</v>
      </c>
      <c r="E30" s="76"/>
      <c r="F30" s="76"/>
      <c r="G30" s="76"/>
      <c r="H30" s="76"/>
    </row>
  </sheetData>
  <mergeCells count="3">
    <mergeCell ref="A1:H1"/>
    <mergeCell ref="A2:H2"/>
    <mergeCell ref="A22:H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0"/>
  <sheetViews>
    <sheetView showGridLines="0" workbookViewId="0"/>
  </sheetViews>
  <sheetFormatPr defaultRowHeight="14.25"/>
  <cols>
    <col min="1" max="1" width="9.75" customWidth="1"/>
    <col min="2" max="2" width="21.25" customWidth="1"/>
    <col min="3" max="3" width="22.5" customWidth="1"/>
    <col min="4" max="4" width="27.5" customWidth="1"/>
    <col min="5" max="5" width="15" customWidth="1"/>
    <col min="6" max="6" width="28.75" customWidth="1"/>
    <col min="7" max="7" width="13.75" customWidth="1"/>
    <col min="8" max="8" width="11.875" customWidth="1"/>
    <col min="9" max="9" width="32.5" customWidth="1"/>
    <col min="10" max="10" width="27.5" customWidth="1"/>
    <col min="11" max="11" width="15" customWidth="1"/>
    <col min="12" max="12" width="13.125" customWidth="1"/>
    <col min="13" max="13" width="22.5" customWidth="1"/>
    <col min="14" max="14" width="18.75" customWidth="1"/>
    <col min="15" max="15" width="13.125" customWidth="1"/>
    <col min="16" max="16" width="16.25" customWidth="1"/>
    <col min="17" max="17" width="30" customWidth="1"/>
    <col min="18" max="18" width="26.25" customWidth="1"/>
  </cols>
  <sheetData>
    <row r="1" spans="1:18" ht="32.1" customHeight="1">
      <c r="A1" s="118" t="s">
        <v>254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</row>
    <row r="2" spans="1:18" ht="33.950000000000003" customHeight="1">
      <c r="A2" s="129" t="s">
        <v>772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</row>
    <row r="3" spans="1:18" ht="30" customHeight="1">
      <c r="A3" s="135" t="s">
        <v>773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</row>
    <row r="4" spans="1:18" ht="26.1" customHeight="1">
      <c r="A4" s="136" t="s">
        <v>774</v>
      </c>
      <c r="B4" s="136"/>
      <c r="C4" s="136" t="s">
        <v>775</v>
      </c>
      <c r="D4" s="136"/>
      <c r="E4" s="136" t="s">
        <v>776</v>
      </c>
      <c r="F4" s="136"/>
      <c r="G4" s="136" t="s">
        <v>777</v>
      </c>
      <c r="H4" s="136"/>
      <c r="I4" s="136" t="s">
        <v>255</v>
      </c>
      <c r="J4" s="136"/>
      <c r="K4" s="136" t="s">
        <v>778</v>
      </c>
      <c r="L4" s="136"/>
    </row>
    <row r="5" spans="1:18" ht="30" customHeight="1">
      <c r="A5" s="137">
        <f>COUNTA(A8:A100)</f>
        <v>13</v>
      </c>
      <c r="B5" s="137"/>
      <c r="C5" s="137">
        <f>COUNTIFS(C8:C100,"&lt;&gt;",E8:E100,"&lt;&gt;",E8:E100,"&lt;&gt;Unknown",F8:F100,"&lt;&gt;",G8:G100,"&lt;&gt;",H8:H100,"&lt;&gt;",P8:P100,"&lt;&gt;",P8:P100,"&lt;&gt;Unknown")</f>
        <v>0</v>
      </c>
      <c r="D5" s="137"/>
      <c r="E5" s="137">
        <f>COUNTIF(L8:L100,"Yes")</f>
        <v>0</v>
      </c>
      <c r="F5" s="137"/>
      <c r="G5" s="137">
        <f>COUNTIFS(L8:L100,"No",P8:P100,"&lt;&gt;",P8:P100,"&lt;&gt;Unknown")+COUNTIFS(L8:L100,"Yes",P8:P100,"Plan agreed")+COUNTIFS(L8:L100,"Yes",P8:P100,"Ready")</f>
        <v>0</v>
      </c>
      <c r="H5" s="137"/>
      <c r="I5" s="138">
        <f>IFERROR(G5/A5,0)</f>
        <v>0</v>
      </c>
      <c r="J5" s="138"/>
      <c r="K5" s="137" t="str">
        <f>IF(C5=A5,"Yeah, you can pick a stack.","No, assessment first.")</f>
        <v>No, assessment first.</v>
      </c>
      <c r="L5" s="137"/>
    </row>
    <row r="6" spans="1:18" ht="48" customHeight="1">
      <c r="A6" s="55" t="s">
        <v>312</v>
      </c>
      <c r="B6" s="55" t="s">
        <v>779</v>
      </c>
      <c r="C6" s="55" t="s">
        <v>780</v>
      </c>
      <c r="D6" s="55" t="s">
        <v>781</v>
      </c>
      <c r="E6" s="55" t="s">
        <v>782</v>
      </c>
      <c r="F6" s="55" t="s">
        <v>783</v>
      </c>
      <c r="G6" s="55" t="s">
        <v>784</v>
      </c>
      <c r="H6" s="55" t="s">
        <v>785</v>
      </c>
      <c r="I6" s="55" t="s">
        <v>786</v>
      </c>
      <c r="J6" s="55" t="s">
        <v>787</v>
      </c>
      <c r="K6" s="55" t="s">
        <v>788</v>
      </c>
      <c r="L6" s="55" t="s">
        <v>789</v>
      </c>
      <c r="M6" s="55" t="s">
        <v>790</v>
      </c>
      <c r="N6" s="55" t="s">
        <v>791</v>
      </c>
      <c r="O6" s="55" t="s">
        <v>792</v>
      </c>
      <c r="P6" s="55" t="s">
        <v>793</v>
      </c>
      <c r="Q6" s="55" t="s">
        <v>794</v>
      </c>
      <c r="R6" s="55" t="s">
        <v>795</v>
      </c>
    </row>
    <row r="7" spans="1:18" ht="42" customHeight="1">
      <c r="A7" s="56" t="s">
        <v>4</v>
      </c>
      <c r="B7" s="56" t="s">
        <v>256</v>
      </c>
      <c r="C7" s="56" t="s">
        <v>796</v>
      </c>
      <c r="D7" s="56" t="s">
        <v>797</v>
      </c>
      <c r="E7" s="56" t="s">
        <v>798</v>
      </c>
      <c r="F7" s="56" t="s">
        <v>257</v>
      </c>
      <c r="G7" s="56" t="s">
        <v>799</v>
      </c>
      <c r="H7" s="56" t="s">
        <v>258</v>
      </c>
      <c r="I7" s="56" t="s">
        <v>800</v>
      </c>
      <c r="J7" s="56" t="s">
        <v>801</v>
      </c>
      <c r="K7" s="56" t="s">
        <v>802</v>
      </c>
      <c r="L7" s="56" t="s">
        <v>259</v>
      </c>
      <c r="M7" s="56" t="s">
        <v>803</v>
      </c>
      <c r="N7" s="56" t="s">
        <v>260</v>
      </c>
      <c r="O7" s="56" t="s">
        <v>804</v>
      </c>
      <c r="P7" s="56" t="s">
        <v>190</v>
      </c>
      <c r="Q7" s="56" t="s">
        <v>805</v>
      </c>
      <c r="R7" s="56" t="s">
        <v>806</v>
      </c>
    </row>
    <row r="8" spans="1:18" ht="63.95" customHeight="1">
      <c r="A8" s="5" t="s">
        <v>261</v>
      </c>
      <c r="B8" s="5" t="s">
        <v>807</v>
      </c>
      <c r="C8" s="5"/>
      <c r="D8" s="5"/>
      <c r="E8" s="47" t="s">
        <v>551</v>
      </c>
      <c r="F8" s="5"/>
      <c r="G8" s="5"/>
      <c r="H8" s="5"/>
      <c r="I8" s="5"/>
      <c r="J8" s="5"/>
      <c r="K8" s="5" t="s">
        <v>551</v>
      </c>
      <c r="L8" s="48" t="str">
        <f>IF(OR(E8="",E8="Unknown",K8="",K8="Unknown"),"Unknown",IF(MATCH(E8,'Reference Data'!$A$30:$A$35,0)&gt;=MATCH(K8,'Reference Data'!$A$30:$A$35,0),"No","Yes"))</f>
        <v>Unknown</v>
      </c>
      <c r="M8" s="5"/>
      <c r="N8" s="5"/>
      <c r="O8" s="23"/>
      <c r="P8" s="47" t="s">
        <v>551</v>
      </c>
      <c r="Q8" s="5"/>
      <c r="R8" s="5"/>
    </row>
    <row r="9" spans="1:18" ht="63.95" customHeight="1">
      <c r="A9" s="6" t="s">
        <v>262</v>
      </c>
      <c r="B9" s="6" t="s">
        <v>263</v>
      </c>
      <c r="C9" s="6"/>
      <c r="D9" s="6"/>
      <c r="E9" s="29" t="s">
        <v>551</v>
      </c>
      <c r="F9" s="6"/>
      <c r="G9" s="6"/>
      <c r="H9" s="6"/>
      <c r="I9" s="6"/>
      <c r="J9" s="6"/>
      <c r="K9" s="6" t="s">
        <v>551</v>
      </c>
      <c r="L9" s="49" t="str">
        <f>IF(OR(E9="",E9="Unknown",K9="",K9="Unknown"),"Unknown",IF(MATCH(E9,'Reference Data'!$A$30:$A$35,0)&gt;=MATCH(K9,'Reference Data'!$A$30:$A$35,0),"No","Yes"))</f>
        <v>Unknown</v>
      </c>
      <c r="M9" s="6"/>
      <c r="N9" s="6"/>
      <c r="O9" s="26"/>
      <c r="P9" s="29" t="s">
        <v>551</v>
      </c>
      <c r="Q9" s="6"/>
      <c r="R9" s="6"/>
    </row>
    <row r="10" spans="1:18" ht="63.95" customHeight="1">
      <c r="A10" s="7" t="s">
        <v>264</v>
      </c>
      <c r="B10" s="7" t="s">
        <v>265</v>
      </c>
      <c r="C10" s="7"/>
      <c r="D10" s="7"/>
      <c r="E10" s="29" t="s">
        <v>551</v>
      </c>
      <c r="F10" s="7"/>
      <c r="G10" s="7"/>
      <c r="H10" s="7"/>
      <c r="I10" s="7"/>
      <c r="J10" s="7"/>
      <c r="K10" s="7" t="s">
        <v>551</v>
      </c>
      <c r="L10" s="49" t="str">
        <f>IF(OR(E10="",E10="Unknown",K10="",K10="Unknown"),"Unknown",IF(MATCH(E10,'Reference Data'!$A$30:$A$35,0)&gt;=MATCH(K10,'Reference Data'!$A$30:$A$35,0),"No","Yes"))</f>
        <v>Unknown</v>
      </c>
      <c r="M10" s="7"/>
      <c r="N10" s="7"/>
      <c r="O10" s="28"/>
      <c r="P10" s="29" t="s">
        <v>551</v>
      </c>
      <c r="Q10" s="7"/>
      <c r="R10" s="7"/>
    </row>
    <row r="11" spans="1:18" ht="63.95" customHeight="1">
      <c r="A11" s="6" t="s">
        <v>266</v>
      </c>
      <c r="B11" s="6" t="s">
        <v>267</v>
      </c>
      <c r="C11" s="6"/>
      <c r="D11" s="6"/>
      <c r="E11" s="29" t="s">
        <v>551</v>
      </c>
      <c r="F11" s="6"/>
      <c r="G11" s="6"/>
      <c r="H11" s="6"/>
      <c r="I11" s="6"/>
      <c r="J11" s="6"/>
      <c r="K11" s="6" t="s">
        <v>551</v>
      </c>
      <c r="L11" s="49" t="str">
        <f>IF(OR(E11="",E11="Unknown",K11="",K11="Unknown"),"Unknown",IF(MATCH(E11,'Reference Data'!$A$30:$A$35,0)&gt;=MATCH(K11,'Reference Data'!$A$30:$A$35,0),"No","Yes"))</f>
        <v>Unknown</v>
      </c>
      <c r="M11" s="6"/>
      <c r="N11" s="6"/>
      <c r="O11" s="26"/>
      <c r="P11" s="29" t="s">
        <v>551</v>
      </c>
      <c r="Q11" s="6"/>
      <c r="R11" s="6"/>
    </row>
    <row r="12" spans="1:18" ht="63.95" customHeight="1">
      <c r="A12" s="7" t="s">
        <v>268</v>
      </c>
      <c r="B12" s="7" t="s">
        <v>269</v>
      </c>
      <c r="C12" s="7"/>
      <c r="D12" s="7"/>
      <c r="E12" s="29" t="s">
        <v>551</v>
      </c>
      <c r="F12" s="7"/>
      <c r="G12" s="7"/>
      <c r="H12" s="7"/>
      <c r="I12" s="7"/>
      <c r="J12" s="7"/>
      <c r="K12" s="7" t="s">
        <v>551</v>
      </c>
      <c r="L12" s="49" t="str">
        <f>IF(OR(E12="",E12="Unknown",K12="",K12="Unknown"),"Unknown",IF(MATCH(E12,'Reference Data'!$A$30:$A$35,0)&gt;=MATCH(K12,'Reference Data'!$A$30:$A$35,0),"No","Yes"))</f>
        <v>Unknown</v>
      </c>
      <c r="M12" s="7"/>
      <c r="N12" s="7"/>
      <c r="O12" s="28"/>
      <c r="P12" s="29" t="s">
        <v>551</v>
      </c>
      <c r="Q12" s="7"/>
      <c r="R12" s="7"/>
    </row>
    <row r="13" spans="1:18" ht="63.95" customHeight="1">
      <c r="A13" s="6" t="s">
        <v>270</v>
      </c>
      <c r="B13" s="6" t="s">
        <v>271</v>
      </c>
      <c r="C13" s="6"/>
      <c r="D13" s="6"/>
      <c r="E13" s="29" t="s">
        <v>551</v>
      </c>
      <c r="F13" s="6"/>
      <c r="G13" s="6"/>
      <c r="H13" s="6"/>
      <c r="I13" s="6"/>
      <c r="J13" s="6"/>
      <c r="K13" s="6" t="s">
        <v>551</v>
      </c>
      <c r="L13" s="49" t="str">
        <f>IF(OR(E13="",E13="Unknown",K13="",K13="Unknown"),"Unknown",IF(MATCH(E13,'Reference Data'!$A$30:$A$35,0)&gt;=MATCH(K13,'Reference Data'!$A$30:$A$35,0),"No","Yes"))</f>
        <v>Unknown</v>
      </c>
      <c r="M13" s="6"/>
      <c r="N13" s="6"/>
      <c r="O13" s="26"/>
      <c r="P13" s="29" t="s">
        <v>551</v>
      </c>
      <c r="Q13" s="6"/>
      <c r="R13" s="6"/>
    </row>
    <row r="14" spans="1:18" ht="63.95" customHeight="1">
      <c r="A14" s="7" t="s">
        <v>272</v>
      </c>
      <c r="B14" s="7" t="s">
        <v>808</v>
      </c>
      <c r="C14" s="7"/>
      <c r="D14" s="7"/>
      <c r="E14" s="29" t="s">
        <v>551</v>
      </c>
      <c r="F14" s="7"/>
      <c r="G14" s="7"/>
      <c r="H14" s="7"/>
      <c r="I14" s="7"/>
      <c r="J14" s="7"/>
      <c r="K14" s="7" t="s">
        <v>551</v>
      </c>
      <c r="L14" s="49" t="str">
        <f>IF(OR(E14="",E14="Unknown",K14="",K14="Unknown"),"Unknown",IF(MATCH(E14,'Reference Data'!$A$30:$A$35,0)&gt;=MATCH(K14,'Reference Data'!$A$30:$A$35,0),"No","Yes"))</f>
        <v>Unknown</v>
      </c>
      <c r="M14" s="7"/>
      <c r="N14" s="7"/>
      <c r="O14" s="28"/>
      <c r="P14" s="29" t="s">
        <v>551</v>
      </c>
      <c r="Q14" s="7"/>
      <c r="R14" s="7"/>
    </row>
    <row r="15" spans="1:18" ht="63.95" customHeight="1">
      <c r="A15" s="6" t="s">
        <v>273</v>
      </c>
      <c r="B15" s="6" t="s">
        <v>809</v>
      </c>
      <c r="C15" s="6"/>
      <c r="D15" s="6"/>
      <c r="E15" s="29" t="s">
        <v>551</v>
      </c>
      <c r="F15" s="6"/>
      <c r="G15" s="6"/>
      <c r="H15" s="6"/>
      <c r="I15" s="6"/>
      <c r="J15" s="6"/>
      <c r="K15" s="6" t="s">
        <v>551</v>
      </c>
      <c r="L15" s="49" t="str">
        <f>IF(OR(E15="",E15="Unknown",K15="",K15="Unknown"),"Unknown",IF(MATCH(E15,'Reference Data'!$A$30:$A$35,0)&gt;=MATCH(K15,'Reference Data'!$A$30:$A$35,0),"No","Yes"))</f>
        <v>Unknown</v>
      </c>
      <c r="M15" s="6"/>
      <c r="N15" s="6"/>
      <c r="O15" s="26"/>
      <c r="P15" s="29" t="s">
        <v>551</v>
      </c>
      <c r="Q15" s="6"/>
      <c r="R15" s="6"/>
    </row>
    <row r="16" spans="1:18" ht="63.95" customHeight="1">
      <c r="A16" s="7" t="s">
        <v>274</v>
      </c>
      <c r="B16" s="7" t="s">
        <v>810</v>
      </c>
      <c r="C16" s="7"/>
      <c r="D16" s="7"/>
      <c r="E16" s="29" t="s">
        <v>551</v>
      </c>
      <c r="F16" s="7"/>
      <c r="G16" s="7"/>
      <c r="H16" s="7"/>
      <c r="I16" s="7"/>
      <c r="J16" s="7"/>
      <c r="K16" s="7" t="s">
        <v>551</v>
      </c>
      <c r="L16" s="49" t="str">
        <f>IF(OR(E16="",E16="Unknown",K16="",K16="Unknown"),"Unknown",IF(MATCH(E16,'Reference Data'!$A$30:$A$35,0)&gt;=MATCH(K16,'Reference Data'!$A$30:$A$35,0),"No","Yes"))</f>
        <v>Unknown</v>
      </c>
      <c r="M16" s="7"/>
      <c r="N16" s="7"/>
      <c r="O16" s="28"/>
      <c r="P16" s="29" t="s">
        <v>551</v>
      </c>
      <c r="Q16" s="7"/>
      <c r="R16" s="7"/>
    </row>
    <row r="17" spans="1:18" ht="63.95" customHeight="1">
      <c r="A17" s="6" t="s">
        <v>275</v>
      </c>
      <c r="B17" s="6" t="s">
        <v>811</v>
      </c>
      <c r="C17" s="6"/>
      <c r="D17" s="6"/>
      <c r="E17" s="29" t="s">
        <v>551</v>
      </c>
      <c r="F17" s="6"/>
      <c r="G17" s="6"/>
      <c r="H17" s="6"/>
      <c r="I17" s="6"/>
      <c r="J17" s="6"/>
      <c r="K17" s="6" t="s">
        <v>551</v>
      </c>
      <c r="L17" s="49" t="str">
        <f>IF(OR(E17="",E17="Unknown",K17="",K17="Unknown"),"Unknown",IF(MATCH(E17,'Reference Data'!$A$30:$A$35,0)&gt;=MATCH(K17,'Reference Data'!$A$30:$A$35,0),"No","Yes"))</f>
        <v>Unknown</v>
      </c>
      <c r="M17" s="6"/>
      <c r="N17" s="6"/>
      <c r="O17" s="26"/>
      <c r="P17" s="29" t="s">
        <v>551</v>
      </c>
      <c r="Q17" s="6"/>
      <c r="R17" s="6"/>
    </row>
    <row r="18" spans="1:18" ht="63.95" customHeight="1">
      <c r="A18" s="7" t="s">
        <v>276</v>
      </c>
      <c r="B18" s="7" t="s">
        <v>90</v>
      </c>
      <c r="C18" s="7"/>
      <c r="D18" s="7"/>
      <c r="E18" s="29" t="s">
        <v>551</v>
      </c>
      <c r="F18" s="7"/>
      <c r="G18" s="7"/>
      <c r="H18" s="7"/>
      <c r="I18" s="7"/>
      <c r="J18" s="7"/>
      <c r="K18" s="7" t="s">
        <v>551</v>
      </c>
      <c r="L18" s="49" t="str">
        <f>IF(OR(E18="",E18="Unknown",K18="",K18="Unknown"),"Unknown",IF(MATCH(E18,'Reference Data'!$A$30:$A$35,0)&gt;=MATCH(K18,'Reference Data'!$A$30:$A$35,0),"No","Yes"))</f>
        <v>Unknown</v>
      </c>
      <c r="M18" s="7"/>
      <c r="N18" s="7"/>
      <c r="O18" s="28"/>
      <c r="P18" s="29" t="s">
        <v>551</v>
      </c>
      <c r="Q18" s="7"/>
      <c r="R18" s="7"/>
    </row>
    <row r="19" spans="1:18" ht="63.95" customHeight="1">
      <c r="A19" s="6" t="s">
        <v>277</v>
      </c>
      <c r="B19" s="6" t="s">
        <v>812</v>
      </c>
      <c r="C19" s="6"/>
      <c r="D19" s="6"/>
      <c r="E19" s="29" t="s">
        <v>551</v>
      </c>
      <c r="F19" s="6"/>
      <c r="G19" s="6"/>
      <c r="H19" s="6"/>
      <c r="I19" s="6"/>
      <c r="J19" s="6"/>
      <c r="K19" s="6" t="s">
        <v>551</v>
      </c>
      <c r="L19" s="49" t="str">
        <f>IF(OR(E19="",E19="Unknown",K19="",K19="Unknown"),"Unknown",IF(MATCH(E19,'Reference Data'!$A$30:$A$35,0)&gt;=MATCH(K19,'Reference Data'!$A$30:$A$35,0),"No","Yes"))</f>
        <v>Unknown</v>
      </c>
      <c r="M19" s="6"/>
      <c r="N19" s="6"/>
      <c r="O19" s="26"/>
      <c r="P19" s="29" t="s">
        <v>551</v>
      </c>
      <c r="Q19" s="6"/>
      <c r="R19" s="6"/>
    </row>
    <row r="20" spans="1:18" ht="63.95" customHeight="1">
      <c r="A20" s="32" t="s">
        <v>278</v>
      </c>
      <c r="B20" s="32" t="s">
        <v>813</v>
      </c>
      <c r="C20" s="32"/>
      <c r="D20" s="32"/>
      <c r="E20" s="50" t="s">
        <v>551</v>
      </c>
      <c r="F20" s="32"/>
      <c r="G20" s="32"/>
      <c r="H20" s="32"/>
      <c r="I20" s="32"/>
      <c r="J20" s="32"/>
      <c r="K20" s="32" t="s">
        <v>551</v>
      </c>
      <c r="L20" s="51" t="str">
        <f>IF(OR(E20="",E20="Unknown",K20="",K20="Unknown"),"Unknown",IF(MATCH(E20,'Reference Data'!$A$30:$A$35,0)&gt;=MATCH(K20,'Reference Data'!$A$30:$A$35,0),"No","Yes"))</f>
        <v>Unknown</v>
      </c>
      <c r="M20" s="32"/>
      <c r="N20" s="32"/>
      <c r="O20" s="36"/>
      <c r="P20" s="50" t="s">
        <v>551</v>
      </c>
      <c r="Q20" s="32"/>
      <c r="R20" s="32"/>
    </row>
  </sheetData>
  <mergeCells count="15">
    <mergeCell ref="A1:R1"/>
    <mergeCell ref="A2:R2"/>
    <mergeCell ref="A3:R3"/>
    <mergeCell ref="A4:B4"/>
    <mergeCell ref="A5:B5"/>
    <mergeCell ref="C4:D4"/>
    <mergeCell ref="C5:D5"/>
    <mergeCell ref="E4:F4"/>
    <mergeCell ref="E5:F5"/>
    <mergeCell ref="G4:H4"/>
    <mergeCell ref="G5:H5"/>
    <mergeCell ref="I4:J4"/>
    <mergeCell ref="I5:J5"/>
    <mergeCell ref="K4:L4"/>
    <mergeCell ref="K5:L5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7"/>
  <sheetViews>
    <sheetView showGridLines="0" workbookViewId="0"/>
  </sheetViews>
  <sheetFormatPr defaultRowHeight="14.25"/>
  <cols>
    <col min="1" max="1" width="10" customWidth="1"/>
    <col min="2" max="2" width="8.75" customWidth="1"/>
    <col min="3" max="3" width="15" customWidth="1"/>
    <col min="4" max="4" width="22.5" customWidth="1"/>
    <col min="5" max="5" width="23.75" customWidth="1"/>
    <col min="6" max="6" width="16.25" customWidth="1"/>
    <col min="7" max="7" width="32.5" customWidth="1"/>
    <col min="8" max="8" width="15.625" customWidth="1"/>
    <col min="9" max="9" width="21.25" customWidth="1"/>
    <col min="10" max="10" width="32.5" customWidth="1"/>
    <col min="11" max="11" width="28.75" customWidth="1"/>
    <col min="12" max="12" width="22.5" customWidth="1"/>
    <col min="13" max="13" width="27.5" customWidth="1"/>
    <col min="14" max="14" width="18.125" customWidth="1"/>
    <col min="15" max="15" width="13.125" customWidth="1"/>
    <col min="16" max="16" width="31.25" customWidth="1"/>
    <col min="17" max="18" width="27.5" customWidth="1"/>
    <col min="19" max="19" width="19.375" customWidth="1"/>
    <col min="20" max="20" width="27.5" customWidth="1"/>
    <col min="21" max="21" width="28.75" customWidth="1"/>
  </cols>
  <sheetData>
    <row r="1" spans="1:21" ht="30" customHeight="1">
      <c r="A1" s="118" t="s">
        <v>279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</row>
    <row r="2" spans="1:21" ht="27.95" customHeight="1">
      <c r="A2" s="129" t="s">
        <v>814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</row>
    <row r="3" spans="1:21" ht="15">
      <c r="A3" s="52" t="s">
        <v>815</v>
      </c>
      <c r="B3" s="52"/>
      <c r="C3" s="52" t="s">
        <v>816</v>
      </c>
      <c r="D3" s="52"/>
      <c r="E3" s="52" t="s">
        <v>817</v>
      </c>
      <c r="F3" s="52"/>
      <c r="G3" s="52" t="s">
        <v>177</v>
      </c>
      <c r="H3" s="52"/>
    </row>
    <row r="4" spans="1:21" ht="15">
      <c r="A4" s="53">
        <f>COUNTA(A7:A205)</f>
        <v>0</v>
      </c>
      <c r="B4" s="53"/>
      <c r="C4" s="53">
        <f>COUNTIF(H7:H205,"Approved")+COUNTIF(H7:H205,"Governed deferral")</f>
        <v>0</v>
      </c>
      <c r="D4" s="53"/>
      <c r="E4" s="53">
        <f>COUNTIFS(B7:B205,"A",H7:H205,"&lt;&gt;Approved",H7:H205,"&lt;&gt;Governed deferral")</f>
        <v>0</v>
      </c>
      <c r="F4" s="53"/>
      <c r="G4" s="54">
        <f>IFERROR(C4/A4,0)</f>
        <v>0</v>
      </c>
      <c r="H4" s="53"/>
    </row>
    <row r="6" spans="1:21" ht="42" customHeight="1">
      <c r="A6" s="15" t="s">
        <v>4</v>
      </c>
      <c r="B6" s="15" t="s">
        <v>402</v>
      </c>
      <c r="C6" s="15" t="s">
        <v>524</v>
      </c>
      <c r="D6" s="15" t="s">
        <v>818</v>
      </c>
      <c r="E6" s="15" t="s">
        <v>819</v>
      </c>
      <c r="F6" s="15" t="s">
        <v>820</v>
      </c>
      <c r="G6" s="15" t="s">
        <v>821</v>
      </c>
      <c r="H6" s="15" t="s">
        <v>190</v>
      </c>
      <c r="I6" s="15" t="s">
        <v>529</v>
      </c>
      <c r="J6" s="15" t="s">
        <v>822</v>
      </c>
      <c r="K6" s="15" t="s">
        <v>823</v>
      </c>
      <c r="L6" s="15" t="s">
        <v>531</v>
      </c>
      <c r="M6" s="15" t="s">
        <v>532</v>
      </c>
      <c r="N6" s="15" t="s">
        <v>533</v>
      </c>
      <c r="O6" s="15" t="s">
        <v>534</v>
      </c>
      <c r="P6" s="15" t="s">
        <v>536</v>
      </c>
      <c r="Q6" s="15" t="s">
        <v>280</v>
      </c>
      <c r="R6" s="15" t="s">
        <v>824</v>
      </c>
      <c r="S6" s="15" t="s">
        <v>540</v>
      </c>
      <c r="T6" s="15" t="s">
        <v>541</v>
      </c>
      <c r="U6" s="15" t="s">
        <v>20</v>
      </c>
    </row>
    <row r="7" spans="1:21" ht="68.099999999999994" customHeight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</sheetData>
  <mergeCells count="2">
    <mergeCell ref="A1:U1"/>
    <mergeCell ref="A2:U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07"/>
  <sheetViews>
    <sheetView showGridLines="0" workbookViewId="0"/>
  </sheetViews>
  <sheetFormatPr defaultRowHeight="14.25"/>
  <cols>
    <col min="1" max="1" width="16" customWidth="1"/>
    <col min="2" max="3" width="18" customWidth="1"/>
    <col min="4" max="4" width="34" customWidth="1"/>
    <col min="5" max="5" width="22" customWidth="1"/>
    <col min="6" max="8" width="34" customWidth="1"/>
    <col min="9" max="13" width="20" customWidth="1"/>
    <col min="14" max="14" width="15" customWidth="1"/>
    <col min="15" max="16" width="34" customWidth="1"/>
    <col min="17" max="17" width="18" customWidth="1"/>
  </cols>
  <sheetData>
    <row r="1" spans="1:17" ht="19.5">
      <c r="A1" s="139" t="s">
        <v>281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</row>
    <row r="2" spans="1:17">
      <c r="A2" s="140" t="s">
        <v>282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</row>
    <row r="4" spans="1:17" ht="15">
      <c r="A4" s="104" t="s">
        <v>283</v>
      </c>
      <c r="B4" s="104"/>
      <c r="C4" s="104" t="s">
        <v>284</v>
      </c>
      <c r="D4" s="104"/>
      <c r="E4" s="104" t="s">
        <v>285</v>
      </c>
      <c r="F4" s="104"/>
      <c r="G4" s="104" t="s">
        <v>286</v>
      </c>
      <c r="H4" s="104"/>
      <c r="I4" s="104" t="s">
        <v>287</v>
      </c>
      <c r="J4" s="104"/>
    </row>
    <row r="5" spans="1:17">
      <c r="A5" s="105">
        <f>COUNTA(A8:A207)</f>
        <v>0</v>
      </c>
      <c r="B5" s="105"/>
      <c r="C5" s="105">
        <f>COUNTIF(Q8:Q207,"Confirmed")</f>
        <v>0</v>
      </c>
      <c r="D5" s="105"/>
      <c r="E5" s="105">
        <f>COUNTIF(Q8:Q207,"Pending client")</f>
        <v>0</v>
      </c>
      <c r="F5" s="105"/>
      <c r="G5" s="105">
        <f>COUNTIF(Q8:Q207,"Internal only")</f>
        <v>0</v>
      </c>
      <c r="H5" s="105"/>
      <c r="I5" s="105">
        <f>COUNTIF(Q8:Q207,"Not used")</f>
        <v>0</v>
      </c>
      <c r="J5" s="105"/>
    </row>
    <row r="7" spans="1:17" ht="30">
      <c r="A7" s="106" t="s">
        <v>288</v>
      </c>
      <c r="B7" s="106" t="s">
        <v>289</v>
      </c>
      <c r="C7" s="106" t="s">
        <v>290</v>
      </c>
      <c r="D7" s="106" t="s">
        <v>291</v>
      </c>
      <c r="E7" s="106" t="s">
        <v>236</v>
      </c>
      <c r="F7" s="106" t="s">
        <v>292</v>
      </c>
      <c r="G7" s="106" t="s">
        <v>293</v>
      </c>
      <c r="H7" s="106" t="s">
        <v>294</v>
      </c>
      <c r="I7" s="106" t="s">
        <v>295</v>
      </c>
      <c r="J7" s="106" t="s">
        <v>296</v>
      </c>
      <c r="K7" s="106" t="s">
        <v>297</v>
      </c>
      <c r="L7" s="106" t="s">
        <v>298</v>
      </c>
      <c r="M7" s="106" t="s">
        <v>299</v>
      </c>
      <c r="N7" s="106" t="s">
        <v>300</v>
      </c>
      <c r="O7" s="106" t="s">
        <v>301</v>
      </c>
      <c r="P7" s="106" t="s">
        <v>302</v>
      </c>
      <c r="Q7" s="106" t="s">
        <v>303</v>
      </c>
    </row>
    <row r="8" spans="1:17">
      <c r="A8" s="102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</row>
    <row r="9" spans="1:17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</row>
    <row r="10" spans="1:17">
      <c r="A10" s="102"/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</row>
    <row r="11" spans="1:17">
      <c r="A11" s="102"/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</row>
    <row r="12" spans="1:17">
      <c r="A12" s="102"/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</row>
    <row r="13" spans="1:17">
      <c r="A13" s="102"/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</row>
    <row r="14" spans="1:17">
      <c r="A14" s="102"/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</row>
    <row r="15" spans="1:17">
      <c r="A15" s="102"/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</row>
    <row r="16" spans="1:17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</row>
    <row r="17" spans="1:17">
      <c r="A17" s="102"/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</row>
    <row r="18" spans="1:17">
      <c r="A18" s="102"/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</row>
    <row r="19" spans="1:17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</row>
    <row r="20" spans="1:17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</row>
    <row r="21" spans="1:17">
      <c r="A21" s="102"/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</row>
    <row r="22" spans="1:17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</row>
    <row r="23" spans="1:17">
      <c r="A23" s="102"/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</row>
    <row r="24" spans="1:17">
      <c r="A24" s="102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</row>
    <row r="25" spans="1:17">
      <c r="A25" s="102"/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</row>
    <row r="26" spans="1:17">
      <c r="A26" s="102"/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</row>
    <row r="27" spans="1:17">
      <c r="A27" s="102"/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</row>
    <row r="28" spans="1:17">
      <c r="A28" s="102"/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</row>
    <row r="29" spans="1:17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</row>
    <row r="30" spans="1:17">
      <c r="A30" s="102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</row>
    <row r="31" spans="1:17">
      <c r="A31" s="102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</row>
    <row r="32" spans="1:17">
      <c r="A32" s="102"/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</row>
    <row r="33" spans="1:17">
      <c r="A33" s="102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</row>
    <row r="34" spans="1:17">
      <c r="A34" s="102"/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</row>
    <row r="35" spans="1:17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</row>
    <row r="36" spans="1:17">
      <c r="A36" s="102"/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</row>
    <row r="37" spans="1:17">
      <c r="A37" s="102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</row>
    <row r="38" spans="1:17">
      <c r="A38" s="102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</row>
    <row r="39" spans="1:17">
      <c r="A39" s="102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</row>
    <row r="40" spans="1:17">
      <c r="A40" s="102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</row>
    <row r="41" spans="1:17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</row>
    <row r="42" spans="1:17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</row>
    <row r="43" spans="1:17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</row>
    <row r="44" spans="1:17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</row>
    <row r="45" spans="1:17">
      <c r="A45" s="102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</row>
    <row r="46" spans="1:17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</row>
    <row r="47" spans="1:17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</row>
    <row r="48" spans="1:17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</row>
    <row r="49" spans="1:17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</row>
    <row r="50" spans="1:17">
      <c r="A50" s="102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</row>
    <row r="51" spans="1:17">
      <c r="A51" s="102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</row>
    <row r="52" spans="1:17">
      <c r="A52" s="102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</row>
    <row r="53" spans="1:17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</row>
    <row r="54" spans="1:17">
      <c r="A54" s="102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</row>
    <row r="55" spans="1:17">
      <c r="A55" s="102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</row>
    <row r="56" spans="1:17">
      <c r="A56" s="102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</row>
    <row r="57" spans="1:17">
      <c r="A57" s="102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</row>
    <row r="58" spans="1:17">
      <c r="A58" s="102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</row>
    <row r="59" spans="1:17">
      <c r="A59" s="102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</row>
    <row r="60" spans="1:17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</row>
    <row r="61" spans="1:17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</row>
    <row r="62" spans="1:17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</row>
    <row r="63" spans="1:17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</row>
    <row r="64" spans="1:17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</row>
    <row r="65" spans="1:17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</row>
    <row r="66" spans="1:17">
      <c r="A66" s="102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</row>
    <row r="67" spans="1:17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</row>
    <row r="68" spans="1:17">
      <c r="A68" s="102"/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</row>
    <row r="69" spans="1:17">
      <c r="A69" s="102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</row>
    <row r="70" spans="1:17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</row>
    <row r="71" spans="1:17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</row>
    <row r="72" spans="1:17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</row>
    <row r="73" spans="1:17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</row>
    <row r="74" spans="1:17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</row>
    <row r="75" spans="1:17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</row>
    <row r="76" spans="1:17">
      <c r="A76" s="102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</row>
    <row r="77" spans="1:17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</row>
    <row r="78" spans="1:17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</row>
    <row r="79" spans="1:17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</row>
    <row r="80" spans="1:17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</row>
    <row r="81" spans="1:17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</row>
    <row r="82" spans="1:17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</row>
    <row r="83" spans="1:17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</row>
    <row r="84" spans="1:17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</row>
    <row r="85" spans="1:17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</row>
    <row r="86" spans="1:17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</row>
    <row r="87" spans="1:17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</row>
    <row r="88" spans="1:17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</row>
    <row r="89" spans="1:17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</row>
    <row r="90" spans="1:17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</row>
    <row r="91" spans="1:17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</row>
    <row r="92" spans="1:17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</row>
    <row r="93" spans="1:17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</row>
    <row r="94" spans="1:17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</row>
    <row r="95" spans="1:17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</row>
    <row r="96" spans="1:17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</row>
    <row r="97" spans="1:17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</row>
    <row r="98" spans="1:17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</row>
    <row r="99" spans="1:17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</row>
    <row r="100" spans="1:17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</row>
    <row r="101" spans="1:17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</row>
    <row r="102" spans="1:17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</row>
    <row r="103" spans="1:17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</row>
    <row r="104" spans="1:17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</row>
    <row r="105" spans="1:17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</row>
    <row r="106" spans="1:17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</row>
    <row r="107" spans="1:17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</row>
    <row r="108" spans="1:17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</row>
    <row r="109" spans="1:17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</row>
    <row r="110" spans="1:17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</row>
    <row r="111" spans="1:17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</row>
    <row r="112" spans="1:17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</row>
    <row r="113" spans="1:17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</row>
    <row r="114" spans="1:17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</row>
    <row r="115" spans="1:17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</row>
    <row r="116" spans="1:17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</row>
    <row r="117" spans="1:17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</row>
    <row r="118" spans="1:17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</row>
    <row r="119" spans="1:17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</row>
    <row r="120" spans="1:17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</row>
    <row r="121" spans="1:17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</row>
    <row r="122" spans="1:17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</row>
    <row r="123" spans="1:17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</row>
    <row r="124" spans="1:17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</row>
    <row r="125" spans="1:17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</row>
    <row r="126" spans="1:17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</row>
    <row r="127" spans="1:17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</row>
    <row r="128" spans="1:17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</row>
    <row r="129" spans="1:17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</row>
    <row r="130" spans="1:17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</row>
    <row r="131" spans="1:17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</row>
    <row r="132" spans="1:17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</row>
    <row r="133" spans="1:17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</row>
    <row r="134" spans="1:17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</row>
    <row r="135" spans="1:17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</row>
    <row r="136" spans="1:17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</row>
    <row r="137" spans="1:17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</row>
    <row r="138" spans="1:17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</row>
    <row r="139" spans="1:17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</row>
    <row r="140" spans="1:17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</row>
    <row r="141" spans="1:17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</row>
    <row r="142" spans="1:17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</row>
    <row r="143" spans="1:17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</row>
    <row r="144" spans="1:17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</row>
    <row r="145" spans="1:17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</row>
    <row r="146" spans="1:17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</row>
    <row r="147" spans="1:17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</row>
    <row r="148" spans="1:17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</row>
    <row r="149" spans="1:17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</row>
    <row r="150" spans="1:17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</row>
    <row r="151" spans="1:17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</row>
    <row r="152" spans="1:17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</row>
    <row r="153" spans="1:17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</row>
    <row r="154" spans="1:17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</row>
    <row r="155" spans="1:17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</row>
    <row r="156" spans="1:17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</row>
    <row r="157" spans="1:17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</row>
    <row r="158" spans="1:17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</row>
    <row r="159" spans="1:17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</row>
    <row r="160" spans="1:17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</row>
    <row r="161" spans="1:17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</row>
    <row r="162" spans="1:17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</row>
    <row r="163" spans="1:17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</row>
    <row r="164" spans="1:17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</row>
    <row r="165" spans="1:17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</row>
    <row r="166" spans="1:17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</row>
    <row r="167" spans="1:17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</row>
    <row r="168" spans="1:17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</row>
    <row r="169" spans="1:17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</row>
    <row r="170" spans="1:17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</row>
    <row r="171" spans="1:17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</row>
    <row r="172" spans="1:17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</row>
    <row r="173" spans="1:17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</row>
    <row r="174" spans="1:17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</row>
    <row r="175" spans="1:17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</row>
    <row r="176" spans="1:17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</row>
    <row r="177" spans="1:17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</row>
    <row r="178" spans="1:17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</row>
    <row r="179" spans="1:17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</row>
    <row r="180" spans="1:17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</row>
    <row r="181" spans="1:17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</row>
    <row r="182" spans="1:17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</row>
    <row r="183" spans="1:17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</row>
    <row r="184" spans="1:17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</row>
    <row r="185" spans="1:17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</row>
    <row r="186" spans="1:17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</row>
    <row r="187" spans="1:17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</row>
    <row r="188" spans="1:17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</row>
    <row r="189" spans="1:17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</row>
    <row r="190" spans="1:17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</row>
    <row r="191" spans="1:17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</row>
    <row r="192" spans="1:17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</row>
    <row r="193" spans="1:17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</row>
    <row r="194" spans="1:17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</row>
    <row r="195" spans="1:17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</row>
    <row r="196" spans="1:17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</row>
    <row r="197" spans="1:17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</row>
    <row r="198" spans="1:17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</row>
    <row r="199" spans="1:17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</row>
    <row r="200" spans="1:17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</row>
    <row r="201" spans="1:17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</row>
    <row r="202" spans="1:17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</row>
    <row r="203" spans="1:17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</row>
    <row r="204" spans="1:17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</row>
    <row r="205" spans="1:17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</row>
    <row r="206" spans="1:17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</row>
    <row r="207" spans="1:17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</row>
  </sheetData>
  <mergeCells count="2">
    <mergeCell ref="A1:Q1"/>
    <mergeCell ref="A2:Q2"/>
  </mergeCells>
  <dataValidations count="1">
    <dataValidation type="list" sqref="Q8:Q207" xr:uid="{00000000-0002-0000-0600-000000000000}">
      <formula1>"Pending client,Confirmed,Internal only,Not used"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8"/>
  <sheetViews>
    <sheetView showGridLines="0" workbookViewId="0"/>
  </sheetViews>
  <sheetFormatPr defaultRowHeight="14.25"/>
  <cols>
    <col min="1" max="1" width="9.75" customWidth="1"/>
    <col min="2" max="2" width="19.375" customWidth="1"/>
    <col min="3" max="4" width="44.375" customWidth="1"/>
    <col min="5" max="5" width="28.75" customWidth="1"/>
    <col min="6" max="6" width="32.5" customWidth="1"/>
    <col min="7" max="7" width="38.75" customWidth="1"/>
    <col min="8" max="8" width="19.375" customWidth="1"/>
    <col min="9" max="9" width="13.125" customWidth="1"/>
    <col min="10" max="10" width="28.75" customWidth="1"/>
    <col min="11" max="11" width="30" customWidth="1"/>
    <col min="12" max="12" width="18.125" customWidth="1"/>
  </cols>
  <sheetData>
    <row r="1" spans="1:12" ht="27.95" customHeight="1">
      <c r="A1" s="141" t="s">
        <v>304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</row>
    <row r="2" spans="1:12" ht="30" customHeight="1">
      <c r="A2" s="142" t="s">
        <v>305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</row>
    <row r="3" spans="1:12" ht="39.950000000000003" customHeight="1">
      <c r="A3" s="143" t="s">
        <v>306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</row>
    <row r="4" spans="1:12" ht="26.1" customHeight="1">
      <c r="A4" s="64" t="s">
        <v>307</v>
      </c>
      <c r="B4" s="64"/>
      <c r="C4" s="64" t="s">
        <v>308</v>
      </c>
      <c r="D4" s="64"/>
      <c r="E4" s="64" t="s">
        <v>309</v>
      </c>
      <c r="F4" s="64"/>
      <c r="G4" s="64" t="s">
        <v>176</v>
      </c>
      <c r="H4" s="64"/>
      <c r="I4" s="64" t="s">
        <v>177</v>
      </c>
      <c r="J4" s="64"/>
      <c r="K4" s="64" t="s">
        <v>310</v>
      </c>
      <c r="L4" s="64"/>
    </row>
    <row r="5" spans="1:12" ht="27.95" customHeight="1">
      <c r="A5" s="65">
        <v>0</v>
      </c>
      <c r="B5" s="65"/>
      <c r="C5" s="66">
        <v>0</v>
      </c>
      <c r="D5" s="66"/>
      <c r="E5" s="66">
        <v>0</v>
      </c>
      <c r="F5" s="66"/>
      <c r="G5" s="67">
        <v>0</v>
      </c>
      <c r="H5" s="67"/>
      <c r="I5" s="68">
        <v>0</v>
      </c>
      <c r="J5" s="65"/>
      <c r="K5" s="144" t="s">
        <v>311</v>
      </c>
      <c r="L5" s="144"/>
    </row>
    <row r="7" spans="1:12" ht="36" customHeight="1">
      <c r="A7" s="69" t="s">
        <v>312</v>
      </c>
      <c r="B7" s="69" t="s">
        <v>313</v>
      </c>
      <c r="C7" s="69" t="s">
        <v>314</v>
      </c>
      <c r="D7" s="69" t="s">
        <v>315</v>
      </c>
      <c r="E7" s="69" t="s">
        <v>316</v>
      </c>
      <c r="F7" s="69" t="s">
        <v>317</v>
      </c>
      <c r="G7" s="69" t="s">
        <v>318</v>
      </c>
      <c r="H7" s="69" t="s">
        <v>319</v>
      </c>
      <c r="I7" s="69" t="s">
        <v>320</v>
      </c>
      <c r="J7" s="69" t="s">
        <v>321</v>
      </c>
      <c r="K7" s="69" t="s">
        <v>322</v>
      </c>
      <c r="L7" s="69" t="s">
        <v>190</v>
      </c>
    </row>
    <row r="8" spans="1:12" ht="33.950000000000003" customHeight="1">
      <c r="A8" s="70" t="s">
        <v>323</v>
      </c>
      <c r="B8" s="70" t="s">
        <v>313</v>
      </c>
      <c r="C8" s="70" t="s">
        <v>324</v>
      </c>
      <c r="D8" s="70" t="s">
        <v>325</v>
      </c>
      <c r="E8" s="70" t="s">
        <v>326</v>
      </c>
      <c r="F8" s="70" t="s">
        <v>327</v>
      </c>
      <c r="G8" s="70" t="s">
        <v>328</v>
      </c>
      <c r="H8" s="70" t="s">
        <v>319</v>
      </c>
      <c r="I8" s="70" t="s">
        <v>320</v>
      </c>
      <c r="J8" s="70" t="s">
        <v>329</v>
      </c>
      <c r="K8" s="70" t="s">
        <v>330</v>
      </c>
      <c r="L8" s="70" t="s">
        <v>331</v>
      </c>
    </row>
    <row r="9" spans="1:12" ht="72" customHeight="1">
      <c r="A9" s="71"/>
      <c r="B9" s="71"/>
      <c r="C9" s="72"/>
      <c r="D9" s="72"/>
      <c r="E9" s="72"/>
      <c r="F9" s="72"/>
      <c r="G9" s="73"/>
      <c r="H9" s="73"/>
      <c r="I9" s="73"/>
      <c r="J9" s="73"/>
      <c r="K9" s="74"/>
      <c r="L9" s="75"/>
    </row>
    <row r="10" spans="1:12" ht="72" customHeight="1">
      <c r="A10" s="71"/>
      <c r="B10" s="71"/>
      <c r="C10" s="72"/>
      <c r="D10" s="72"/>
      <c r="E10" s="72"/>
      <c r="F10" s="72"/>
      <c r="G10" s="73"/>
      <c r="H10" s="73"/>
      <c r="I10" s="73"/>
      <c r="J10" s="73"/>
      <c r="K10" s="74"/>
      <c r="L10" s="75"/>
    </row>
    <row r="11" spans="1:12" ht="72" customHeight="1">
      <c r="A11" s="71"/>
      <c r="B11" s="71"/>
      <c r="C11" s="72"/>
      <c r="D11" s="72"/>
      <c r="E11" s="72"/>
      <c r="F11" s="72"/>
      <c r="G11" s="73"/>
      <c r="H11" s="73"/>
      <c r="I11" s="73"/>
      <c r="J11" s="73"/>
      <c r="K11" s="74"/>
      <c r="L11" s="75"/>
    </row>
    <row r="12" spans="1:12" ht="72" customHeight="1">
      <c r="A12" s="71"/>
      <c r="B12" s="71"/>
      <c r="C12" s="72"/>
      <c r="D12" s="72"/>
      <c r="E12" s="72"/>
      <c r="F12" s="72"/>
      <c r="G12" s="73"/>
      <c r="H12" s="73"/>
      <c r="I12" s="73"/>
      <c r="J12" s="73"/>
      <c r="K12" s="74"/>
      <c r="L12" s="75"/>
    </row>
    <row r="13" spans="1:12" ht="72" customHeight="1">
      <c r="A13" s="71"/>
      <c r="B13" s="71"/>
      <c r="C13" s="72"/>
      <c r="D13" s="72"/>
      <c r="E13" s="72"/>
      <c r="F13" s="72"/>
      <c r="G13" s="73"/>
      <c r="H13" s="73"/>
      <c r="I13" s="73"/>
      <c r="J13" s="73"/>
      <c r="K13" s="74"/>
      <c r="L13" s="75"/>
    </row>
    <row r="14" spans="1:12" ht="72" customHeight="1">
      <c r="A14" s="71"/>
      <c r="B14" s="71"/>
      <c r="C14" s="72"/>
      <c r="D14" s="72"/>
      <c r="E14" s="72"/>
      <c r="F14" s="72"/>
      <c r="G14" s="73"/>
      <c r="H14" s="73"/>
      <c r="I14" s="73"/>
      <c r="J14" s="73"/>
      <c r="K14" s="74"/>
      <c r="L14" s="75"/>
    </row>
    <row r="15" spans="1:12" ht="72" customHeight="1">
      <c r="A15" s="71"/>
      <c r="B15" s="71"/>
      <c r="C15" s="72"/>
      <c r="D15" s="72"/>
      <c r="E15" s="72"/>
      <c r="F15" s="72"/>
      <c r="G15" s="73"/>
      <c r="H15" s="73"/>
      <c r="I15" s="73"/>
      <c r="J15" s="73"/>
      <c r="K15" s="74"/>
      <c r="L15" s="75"/>
    </row>
    <row r="16" spans="1:12" ht="72" customHeight="1">
      <c r="A16" s="71"/>
      <c r="B16" s="71"/>
      <c r="C16" s="72"/>
      <c r="D16" s="72"/>
      <c r="E16" s="72"/>
      <c r="F16" s="72"/>
      <c r="G16" s="73"/>
      <c r="H16" s="73"/>
      <c r="I16" s="73"/>
      <c r="J16" s="73"/>
      <c r="K16" s="74"/>
      <c r="L16" s="75"/>
    </row>
    <row r="17" spans="1:12" ht="72" customHeight="1">
      <c r="A17" s="71"/>
      <c r="B17" s="71"/>
      <c r="C17" s="72"/>
      <c r="D17" s="72"/>
      <c r="E17" s="72"/>
      <c r="F17" s="72"/>
      <c r="G17" s="73"/>
      <c r="H17" s="73"/>
      <c r="I17" s="73"/>
      <c r="J17" s="73"/>
      <c r="K17" s="74"/>
      <c r="L17" s="75"/>
    </row>
    <row r="18" spans="1:12" ht="72" customHeight="1">
      <c r="A18" s="71"/>
      <c r="B18" s="71"/>
      <c r="C18" s="72"/>
      <c r="D18" s="72"/>
      <c r="E18" s="72"/>
      <c r="F18" s="72"/>
      <c r="G18" s="73"/>
      <c r="H18" s="73"/>
      <c r="I18" s="73"/>
      <c r="J18" s="73"/>
      <c r="K18" s="74"/>
      <c r="L18" s="75"/>
    </row>
    <row r="19" spans="1:12" ht="72" customHeight="1">
      <c r="A19" s="71"/>
      <c r="B19" s="71"/>
      <c r="C19" s="72"/>
      <c r="D19" s="72"/>
      <c r="E19" s="72"/>
      <c r="F19" s="72"/>
      <c r="G19" s="73"/>
      <c r="H19" s="73"/>
      <c r="I19" s="73"/>
      <c r="J19" s="73"/>
      <c r="K19" s="74"/>
      <c r="L19" s="75"/>
    </row>
    <row r="20" spans="1:12" ht="72" customHeight="1">
      <c r="A20" s="71"/>
      <c r="B20" s="71"/>
      <c r="C20" s="72"/>
      <c r="D20" s="72"/>
      <c r="E20" s="72"/>
      <c r="F20" s="72"/>
      <c r="G20" s="73"/>
      <c r="H20" s="73"/>
      <c r="I20" s="73"/>
      <c r="J20" s="73"/>
      <c r="K20" s="74"/>
      <c r="L20" s="75"/>
    </row>
    <row r="21" spans="1:12" ht="72" customHeight="1">
      <c r="A21" s="71"/>
      <c r="B21" s="71"/>
      <c r="C21" s="72"/>
      <c r="D21" s="72"/>
      <c r="E21" s="72"/>
      <c r="F21" s="72"/>
      <c r="G21" s="73"/>
      <c r="H21" s="73"/>
      <c r="I21" s="73"/>
      <c r="J21" s="73"/>
      <c r="K21" s="74"/>
      <c r="L21" s="75"/>
    </row>
    <row r="22" spans="1:12" ht="72" customHeight="1">
      <c r="A22" s="71"/>
      <c r="B22" s="71"/>
      <c r="C22" s="72"/>
      <c r="D22" s="72"/>
      <c r="E22" s="72"/>
      <c r="F22" s="72"/>
      <c r="G22" s="73"/>
      <c r="H22" s="73"/>
      <c r="I22" s="73"/>
      <c r="J22" s="73"/>
      <c r="K22" s="74"/>
      <c r="L22" s="75"/>
    </row>
    <row r="23" spans="1:12" ht="72" customHeight="1">
      <c r="A23" s="71"/>
      <c r="B23" s="71"/>
      <c r="C23" s="72"/>
      <c r="D23" s="72"/>
      <c r="E23" s="72"/>
      <c r="F23" s="72"/>
      <c r="G23" s="73"/>
      <c r="H23" s="73"/>
      <c r="I23" s="73"/>
      <c r="J23" s="73"/>
      <c r="K23" s="74"/>
      <c r="L23" s="75"/>
    </row>
    <row r="24" spans="1:12" ht="72" customHeight="1">
      <c r="A24" s="71"/>
      <c r="B24" s="71"/>
      <c r="C24" s="72"/>
      <c r="D24" s="72"/>
      <c r="E24" s="72"/>
      <c r="F24" s="72"/>
      <c r="G24" s="73"/>
      <c r="H24" s="73"/>
      <c r="I24" s="73"/>
      <c r="J24" s="73"/>
      <c r="K24" s="74"/>
      <c r="L24" s="75"/>
    </row>
    <row r="25" spans="1:12" ht="72" customHeight="1">
      <c r="A25" s="71"/>
      <c r="B25" s="71"/>
      <c r="C25" s="72"/>
      <c r="D25" s="72"/>
      <c r="E25" s="72"/>
      <c r="F25" s="72"/>
      <c r="G25" s="73"/>
      <c r="H25" s="73"/>
      <c r="I25" s="73"/>
      <c r="J25" s="73"/>
      <c r="K25" s="74"/>
      <c r="L25" s="75"/>
    </row>
    <row r="26" spans="1:12" ht="72" customHeight="1">
      <c r="A26" s="71"/>
      <c r="B26" s="71"/>
      <c r="C26" s="72"/>
      <c r="D26" s="72"/>
      <c r="E26" s="72"/>
      <c r="F26" s="72"/>
      <c r="G26" s="73"/>
      <c r="H26" s="73"/>
      <c r="I26" s="73"/>
      <c r="J26" s="73"/>
      <c r="K26" s="74"/>
      <c r="L26" s="75"/>
    </row>
    <row r="27" spans="1:12" ht="72" customHeight="1">
      <c r="A27" s="71"/>
      <c r="B27" s="71"/>
      <c r="C27" s="72"/>
      <c r="D27" s="72"/>
      <c r="E27" s="72"/>
      <c r="F27" s="72"/>
      <c r="G27" s="73"/>
      <c r="H27" s="73"/>
      <c r="I27" s="73"/>
      <c r="J27" s="73"/>
      <c r="K27" s="74"/>
      <c r="L27" s="75"/>
    </row>
    <row r="28" spans="1:12" ht="72" customHeight="1">
      <c r="A28" s="71"/>
      <c r="B28" s="71"/>
      <c r="C28" s="72"/>
      <c r="D28" s="72"/>
      <c r="E28" s="72"/>
      <c r="F28" s="72"/>
      <c r="G28" s="73"/>
      <c r="H28" s="73"/>
      <c r="I28" s="73"/>
      <c r="J28" s="73"/>
      <c r="K28" s="74"/>
      <c r="L28" s="75"/>
    </row>
  </sheetData>
  <mergeCells count="4">
    <mergeCell ref="A1:L1"/>
    <mergeCell ref="A2:L2"/>
    <mergeCell ref="A3:L3"/>
    <mergeCell ref="K5:L5"/>
  </mergeCells>
  <conditionalFormatting sqref="L9:L28">
    <cfRule type="containsText" dxfId="3" priority="1" operator="containsText" text="Answered">
      <formula>NOT(ISERROR(SEARCH("Answered",L9)))</formula>
    </cfRule>
    <cfRule type="containsText" dxfId="2" priority="2" operator="containsText" text="Not applicable">
      <formula>NOT(ISERROR(SEARCH("Not applicable",L9)))</formula>
    </cfRule>
    <cfRule type="containsText" dxfId="1" priority="3" operator="containsText" text="Owner-deferred">
      <formula>NOT(ISERROR(SEARCH("Owner-deferred",L9)))</formula>
    </cfRule>
    <cfRule type="containsText" dxfId="0" priority="4" operator="containsText" text="Open">
      <formula>NOT(ISERROR(SEARCH("Open",L9)))</formula>
    </cfRule>
  </conditionalFormatting>
  <dataValidations count="1">
    <dataValidation type="list" sqref="L9:L28" xr:uid="{00000000-0002-0000-0700-000000000000}">
      <formula1>"Open,Answered,Owner-deferred,Not applicable"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6"/>
  <sheetViews>
    <sheetView showGridLines="0" workbookViewId="0"/>
  </sheetViews>
  <sheetFormatPr defaultRowHeight="14.25"/>
  <cols>
    <col min="1" max="1" width="8.75" customWidth="1"/>
    <col min="2" max="2" width="27.5" customWidth="1"/>
    <col min="3" max="3" width="22.5" customWidth="1"/>
    <col min="4" max="4" width="33.75" customWidth="1"/>
    <col min="5" max="5" width="20.625" customWidth="1"/>
    <col min="6" max="6" width="28.75" customWidth="1"/>
    <col min="7" max="7" width="20.625" customWidth="1"/>
    <col min="8" max="8" width="36.25" customWidth="1"/>
    <col min="9" max="9" width="23.125" customWidth="1"/>
    <col min="10" max="10" width="30" customWidth="1"/>
  </cols>
  <sheetData>
    <row r="1" spans="1:10" ht="33.950000000000003" customHeight="1">
      <c r="A1" s="1" t="s">
        <v>390</v>
      </c>
      <c r="B1" s="1" t="s">
        <v>825</v>
      </c>
      <c r="C1" s="1" t="s">
        <v>529</v>
      </c>
      <c r="D1" s="1" t="s">
        <v>826</v>
      </c>
      <c r="E1" s="1" t="s">
        <v>531</v>
      </c>
      <c r="F1" s="1" t="s">
        <v>827</v>
      </c>
      <c r="G1" s="1" t="s">
        <v>190</v>
      </c>
      <c r="H1" s="1" t="s">
        <v>828</v>
      </c>
      <c r="I1" s="1" t="s">
        <v>540</v>
      </c>
      <c r="J1" s="1" t="s">
        <v>829</v>
      </c>
    </row>
    <row r="2" spans="1:10" ht="57.95" customHeight="1">
      <c r="A2" s="9" t="s">
        <v>0</v>
      </c>
      <c r="B2" s="5" t="s">
        <v>830</v>
      </c>
      <c r="C2" s="11" t="s">
        <v>78</v>
      </c>
      <c r="D2" s="5" t="s">
        <v>831</v>
      </c>
      <c r="E2" s="11" t="s">
        <v>550</v>
      </c>
      <c r="F2" s="5" t="s">
        <v>832</v>
      </c>
      <c r="G2" s="11" t="s">
        <v>833</v>
      </c>
      <c r="H2" s="5" t="s">
        <v>834</v>
      </c>
      <c r="I2" s="11" t="s">
        <v>332</v>
      </c>
      <c r="J2" s="5" t="s">
        <v>835</v>
      </c>
    </row>
    <row r="3" spans="1:10" ht="57.95" customHeight="1">
      <c r="A3" s="10" t="s">
        <v>1</v>
      </c>
      <c r="B3" s="6" t="s">
        <v>836</v>
      </c>
      <c r="C3" s="12" t="s">
        <v>88</v>
      </c>
      <c r="D3" s="6" t="s">
        <v>837</v>
      </c>
      <c r="E3" s="12" t="s">
        <v>60</v>
      </c>
      <c r="F3" s="6" t="s">
        <v>838</v>
      </c>
      <c r="G3" s="12" t="s">
        <v>551</v>
      </c>
      <c r="H3" s="6" t="s">
        <v>839</v>
      </c>
      <c r="I3" s="12" t="s">
        <v>73</v>
      </c>
      <c r="J3" s="6" t="s">
        <v>840</v>
      </c>
    </row>
    <row r="4" spans="1:10" ht="57.95" customHeight="1">
      <c r="A4" s="10" t="s">
        <v>2</v>
      </c>
      <c r="B4" s="7" t="s">
        <v>841</v>
      </c>
      <c r="C4" s="13" t="s">
        <v>131</v>
      </c>
      <c r="D4" s="7" t="s">
        <v>842</v>
      </c>
      <c r="E4" s="13" t="s">
        <v>333</v>
      </c>
      <c r="F4" s="7" t="s">
        <v>843</v>
      </c>
      <c r="G4" s="13" t="s">
        <v>596</v>
      </c>
      <c r="H4" s="7" t="s">
        <v>844</v>
      </c>
      <c r="I4" s="13" t="s">
        <v>80</v>
      </c>
      <c r="J4" s="7" t="s">
        <v>845</v>
      </c>
    </row>
    <row r="5" spans="1:10" ht="57.95" customHeight="1">
      <c r="A5" s="6"/>
      <c r="B5" s="6"/>
      <c r="C5" s="12" t="s">
        <v>70</v>
      </c>
      <c r="D5" s="6" t="s">
        <v>846</v>
      </c>
      <c r="E5" s="12" t="s">
        <v>82</v>
      </c>
      <c r="F5" s="6" t="s">
        <v>847</v>
      </c>
      <c r="G5" s="12" t="s">
        <v>848</v>
      </c>
      <c r="H5" s="6" t="s">
        <v>849</v>
      </c>
      <c r="I5" s="12" t="s">
        <v>60</v>
      </c>
      <c r="J5" s="6" t="s">
        <v>850</v>
      </c>
    </row>
    <row r="6" spans="1:10" ht="57.95" customHeight="1">
      <c r="A6" s="7"/>
      <c r="B6" s="7"/>
      <c r="C6" s="13" t="s">
        <v>334</v>
      </c>
      <c r="D6" s="7" t="s">
        <v>851</v>
      </c>
      <c r="E6" s="13" t="s">
        <v>95</v>
      </c>
      <c r="F6" s="7" t="s">
        <v>852</v>
      </c>
      <c r="G6" s="13" t="s">
        <v>391</v>
      </c>
      <c r="H6" s="7" t="s">
        <v>853</v>
      </c>
      <c r="I6" s="13" t="s">
        <v>100</v>
      </c>
      <c r="J6" s="7" t="s">
        <v>854</v>
      </c>
    </row>
    <row r="7" spans="1:10" ht="57.95" customHeight="1">
      <c r="A7" s="6"/>
      <c r="B7" s="6"/>
      <c r="C7" s="12" t="s">
        <v>335</v>
      </c>
      <c r="D7" s="6" t="s">
        <v>855</v>
      </c>
      <c r="E7" s="12" t="s">
        <v>336</v>
      </c>
      <c r="F7" s="6" t="s">
        <v>856</v>
      </c>
      <c r="G7" s="12" t="s">
        <v>392</v>
      </c>
      <c r="H7" s="6" t="s">
        <v>857</v>
      </c>
      <c r="I7" s="12" t="s">
        <v>65</v>
      </c>
      <c r="J7" s="6" t="s">
        <v>858</v>
      </c>
    </row>
    <row r="8" spans="1:10" ht="57.95" customHeight="1">
      <c r="A8" s="7"/>
      <c r="B8" s="7"/>
      <c r="C8" s="13" t="s">
        <v>137</v>
      </c>
      <c r="D8" s="7" t="s">
        <v>859</v>
      </c>
      <c r="E8" s="13" t="s">
        <v>337</v>
      </c>
      <c r="F8" s="7" t="s">
        <v>860</v>
      </c>
      <c r="G8" s="13" t="s">
        <v>861</v>
      </c>
      <c r="H8" s="7" t="s">
        <v>862</v>
      </c>
      <c r="I8" s="13" t="s">
        <v>338</v>
      </c>
      <c r="J8" s="7" t="s">
        <v>863</v>
      </c>
    </row>
    <row r="9" spans="1:10" ht="57.95" customHeight="1">
      <c r="A9" s="6"/>
      <c r="B9" s="6"/>
      <c r="C9" s="12" t="s">
        <v>339</v>
      </c>
      <c r="D9" s="6" t="s">
        <v>864</v>
      </c>
      <c r="E9" s="6"/>
      <c r="F9" s="6"/>
      <c r="G9" s="12" t="s">
        <v>865</v>
      </c>
      <c r="H9" s="6" t="s">
        <v>866</v>
      </c>
      <c r="I9" s="12" t="s">
        <v>340</v>
      </c>
      <c r="J9" s="6" t="s">
        <v>867</v>
      </c>
    </row>
    <row r="10" spans="1:10" ht="57.95" customHeight="1">
      <c r="A10" s="7"/>
      <c r="B10" s="7"/>
      <c r="C10" s="13" t="s">
        <v>341</v>
      </c>
      <c r="D10" s="7" t="s">
        <v>868</v>
      </c>
      <c r="E10" s="7"/>
      <c r="F10" s="7"/>
      <c r="G10" s="13" t="s">
        <v>869</v>
      </c>
      <c r="H10" s="7" t="s">
        <v>870</v>
      </c>
      <c r="I10" s="13" t="s">
        <v>342</v>
      </c>
      <c r="J10" s="7" t="s">
        <v>871</v>
      </c>
    </row>
    <row r="11" spans="1:10" ht="57.95" customHeight="1">
      <c r="A11" s="6"/>
      <c r="B11" s="6"/>
      <c r="C11" s="12" t="s">
        <v>343</v>
      </c>
      <c r="D11" s="6" t="s">
        <v>872</v>
      </c>
      <c r="E11" s="6"/>
      <c r="F11" s="6"/>
      <c r="G11" s="6"/>
      <c r="H11" s="6"/>
      <c r="I11" s="12" t="s">
        <v>344</v>
      </c>
      <c r="J11" s="6" t="s">
        <v>873</v>
      </c>
    </row>
    <row r="12" spans="1:10" ht="57.95" customHeight="1">
      <c r="A12" s="7"/>
      <c r="B12" s="7"/>
      <c r="C12" s="13" t="s">
        <v>345</v>
      </c>
      <c r="D12" s="7" t="s">
        <v>874</v>
      </c>
      <c r="E12" s="7"/>
      <c r="F12" s="7"/>
      <c r="G12" s="7"/>
      <c r="H12" s="7"/>
      <c r="I12" s="13" t="s">
        <v>346</v>
      </c>
      <c r="J12" s="7" t="s">
        <v>875</v>
      </c>
    </row>
    <row r="13" spans="1:10" ht="57.95" customHeight="1">
      <c r="A13" s="8"/>
      <c r="B13" s="8"/>
      <c r="C13" s="8"/>
      <c r="D13" s="8"/>
      <c r="E13" s="8"/>
      <c r="F13" s="8"/>
      <c r="G13" s="8"/>
      <c r="H13" s="8"/>
      <c r="I13" s="14" t="s">
        <v>555</v>
      </c>
      <c r="J13" s="8" t="s">
        <v>876</v>
      </c>
    </row>
    <row r="15" spans="1:10" ht="26.1" customHeight="1">
      <c r="A15" s="118" t="s">
        <v>877</v>
      </c>
      <c r="B15" s="118"/>
      <c r="C15" s="118"/>
      <c r="D15" s="118"/>
      <c r="E15" s="118"/>
      <c r="F15" s="118"/>
      <c r="G15" s="118"/>
      <c r="H15" s="118"/>
      <c r="I15" s="118"/>
      <c r="J15" s="118"/>
    </row>
    <row r="16" spans="1:10" ht="33.950000000000003" customHeight="1">
      <c r="A16" s="135" t="s">
        <v>540</v>
      </c>
      <c r="B16" s="135"/>
      <c r="C16" s="145" t="s">
        <v>878</v>
      </c>
      <c r="D16" s="145"/>
      <c r="E16" s="145"/>
      <c r="F16" s="145"/>
      <c r="G16" s="145"/>
      <c r="H16" s="145"/>
      <c r="I16" s="145"/>
      <c r="J16" s="145"/>
    </row>
    <row r="17" spans="1:10" ht="33.950000000000003" customHeight="1">
      <c r="A17" s="135" t="s">
        <v>531</v>
      </c>
      <c r="B17" s="135"/>
      <c r="C17" s="145" t="s">
        <v>879</v>
      </c>
      <c r="D17" s="145"/>
      <c r="E17" s="145"/>
      <c r="F17" s="145"/>
      <c r="G17" s="145"/>
      <c r="H17" s="145"/>
      <c r="I17" s="145"/>
      <c r="J17" s="145"/>
    </row>
    <row r="18" spans="1:10" ht="33.950000000000003" customHeight="1">
      <c r="A18" s="135" t="s">
        <v>532</v>
      </c>
      <c r="B18" s="135"/>
      <c r="C18" s="145" t="s">
        <v>880</v>
      </c>
      <c r="D18" s="145"/>
      <c r="E18" s="145"/>
      <c r="F18" s="145"/>
      <c r="G18" s="145"/>
      <c r="H18" s="145"/>
      <c r="I18" s="145"/>
      <c r="J18" s="145"/>
    </row>
    <row r="19" spans="1:10" ht="33.950000000000003" customHeight="1">
      <c r="A19" s="135" t="s">
        <v>881</v>
      </c>
      <c r="B19" s="135"/>
      <c r="C19" s="145" t="s">
        <v>882</v>
      </c>
      <c r="D19" s="145"/>
      <c r="E19" s="145"/>
      <c r="F19" s="145"/>
      <c r="G19" s="145"/>
      <c r="H19" s="145"/>
      <c r="I19" s="145"/>
      <c r="J19" s="145"/>
    </row>
    <row r="20" spans="1:10" ht="33.950000000000003" customHeight="1">
      <c r="A20" s="135" t="s">
        <v>883</v>
      </c>
      <c r="B20" s="135"/>
      <c r="C20" s="145" t="s">
        <v>884</v>
      </c>
      <c r="D20" s="145"/>
      <c r="E20" s="145"/>
      <c r="F20" s="145"/>
      <c r="G20" s="145"/>
      <c r="H20" s="145"/>
      <c r="I20" s="145"/>
      <c r="J20" s="145"/>
    </row>
    <row r="22" spans="1:10" ht="26.1" customHeight="1">
      <c r="A22" s="120" t="s">
        <v>885</v>
      </c>
      <c r="B22" s="120"/>
      <c r="C22" s="120"/>
      <c r="D22" s="120"/>
      <c r="E22" s="120"/>
      <c r="F22" s="120"/>
      <c r="G22" s="120"/>
      <c r="H22" s="120"/>
      <c r="I22" s="120"/>
      <c r="J22" s="120"/>
    </row>
    <row r="23" spans="1:10" ht="36" customHeight="1">
      <c r="A23" s="146" t="s">
        <v>886</v>
      </c>
      <c r="B23" s="146"/>
      <c r="C23" s="147" t="s">
        <v>887</v>
      </c>
      <c r="D23" s="147"/>
      <c r="E23" s="147"/>
      <c r="F23" s="147"/>
      <c r="G23" s="147"/>
      <c r="H23" s="147"/>
      <c r="I23" s="147"/>
      <c r="J23" s="147"/>
    </row>
    <row r="24" spans="1:10" ht="36" customHeight="1">
      <c r="A24" s="146" t="s">
        <v>391</v>
      </c>
      <c r="B24" s="146"/>
      <c r="C24" s="147" t="s">
        <v>888</v>
      </c>
      <c r="D24" s="147"/>
      <c r="E24" s="147"/>
      <c r="F24" s="147"/>
      <c r="G24" s="147"/>
      <c r="H24" s="147"/>
      <c r="I24" s="147"/>
      <c r="J24" s="147"/>
    </row>
    <row r="25" spans="1:10" ht="36" customHeight="1">
      <c r="A25" s="146" t="s">
        <v>392</v>
      </c>
      <c r="B25" s="146"/>
      <c r="C25" s="147" t="s">
        <v>889</v>
      </c>
      <c r="D25" s="147"/>
      <c r="E25" s="147"/>
      <c r="F25" s="147"/>
      <c r="G25" s="147"/>
      <c r="H25" s="147"/>
      <c r="I25" s="147"/>
      <c r="J25" s="147"/>
    </row>
    <row r="26" spans="1:10" ht="36" customHeight="1">
      <c r="A26" s="146" t="s">
        <v>890</v>
      </c>
      <c r="B26" s="146"/>
      <c r="C26" s="147" t="s">
        <v>891</v>
      </c>
      <c r="D26" s="147"/>
      <c r="E26" s="147"/>
      <c r="F26" s="147"/>
      <c r="G26" s="147"/>
      <c r="H26" s="147"/>
      <c r="I26" s="147"/>
      <c r="J26" s="147"/>
    </row>
    <row r="28" spans="1:10" ht="26.1" customHeight="1">
      <c r="A28" s="118" t="s">
        <v>892</v>
      </c>
      <c r="B28" s="118"/>
      <c r="C28" s="118"/>
      <c r="D28" s="118"/>
      <c r="E28" s="118"/>
      <c r="F28" s="118"/>
      <c r="G28" s="118"/>
      <c r="H28" s="118"/>
      <c r="I28" s="118"/>
      <c r="J28" s="118"/>
    </row>
    <row r="29" spans="1:10" ht="30" customHeight="1">
      <c r="A29" s="15" t="s">
        <v>893</v>
      </c>
      <c r="B29" s="15" t="s">
        <v>825</v>
      </c>
      <c r="C29" s="15" t="s">
        <v>803</v>
      </c>
      <c r="D29" s="15" t="s">
        <v>825</v>
      </c>
      <c r="E29" s="15" t="s">
        <v>894</v>
      </c>
      <c r="F29" s="15" t="s">
        <v>825</v>
      </c>
      <c r="G29" s="15"/>
      <c r="H29" s="15"/>
    </row>
    <row r="30" spans="1:10" ht="42" customHeight="1">
      <c r="A30" s="16" t="s">
        <v>551</v>
      </c>
      <c r="B30" s="2" t="s">
        <v>895</v>
      </c>
      <c r="C30" s="16" t="s">
        <v>896</v>
      </c>
      <c r="D30" s="2" t="s">
        <v>897</v>
      </c>
      <c r="E30" s="16" t="s">
        <v>551</v>
      </c>
      <c r="F30" s="2" t="s">
        <v>898</v>
      </c>
      <c r="G30" s="2"/>
      <c r="H30" s="2"/>
    </row>
    <row r="31" spans="1:10" ht="42" customHeight="1">
      <c r="A31" s="17" t="s">
        <v>899</v>
      </c>
      <c r="B31" s="3" t="s">
        <v>900</v>
      </c>
      <c r="C31" s="17" t="s">
        <v>901</v>
      </c>
      <c r="D31" s="3" t="s">
        <v>902</v>
      </c>
      <c r="E31" s="17" t="s">
        <v>903</v>
      </c>
      <c r="F31" s="3" t="s">
        <v>904</v>
      </c>
      <c r="G31" s="3"/>
      <c r="H31" s="3"/>
    </row>
    <row r="32" spans="1:10" ht="42" customHeight="1">
      <c r="A32" s="17" t="s">
        <v>905</v>
      </c>
      <c r="B32" s="3" t="s">
        <v>906</v>
      </c>
      <c r="C32" s="17" t="s">
        <v>907</v>
      </c>
      <c r="D32" s="3" t="s">
        <v>908</v>
      </c>
      <c r="E32" s="17" t="s">
        <v>909</v>
      </c>
      <c r="F32" s="3" t="s">
        <v>910</v>
      </c>
      <c r="G32" s="3"/>
      <c r="H32" s="3"/>
    </row>
    <row r="33" spans="1:8" ht="42" customHeight="1">
      <c r="A33" s="17" t="s">
        <v>911</v>
      </c>
      <c r="B33" s="3" t="s">
        <v>912</v>
      </c>
      <c r="C33" s="17" t="s">
        <v>913</v>
      </c>
      <c r="D33" s="3" t="s">
        <v>914</v>
      </c>
      <c r="E33" s="17" t="s">
        <v>915</v>
      </c>
      <c r="F33" s="3" t="s">
        <v>916</v>
      </c>
      <c r="G33" s="3"/>
      <c r="H33" s="3"/>
    </row>
    <row r="34" spans="1:8" ht="42" customHeight="1">
      <c r="A34" s="17" t="s">
        <v>917</v>
      </c>
      <c r="B34" s="3" t="s">
        <v>918</v>
      </c>
      <c r="C34" s="17" t="s">
        <v>347</v>
      </c>
      <c r="D34" s="3" t="s">
        <v>919</v>
      </c>
      <c r="E34" s="17" t="s">
        <v>175</v>
      </c>
      <c r="F34" s="3" t="s">
        <v>920</v>
      </c>
      <c r="G34" s="3"/>
      <c r="H34" s="3"/>
    </row>
    <row r="35" spans="1:8" ht="42" customHeight="1">
      <c r="A35" s="17" t="s">
        <v>921</v>
      </c>
      <c r="B35" s="3" t="s">
        <v>922</v>
      </c>
      <c r="C35" s="17" t="s">
        <v>923</v>
      </c>
      <c r="D35" s="3" t="s">
        <v>924</v>
      </c>
      <c r="E35" s="3"/>
      <c r="F35" s="3"/>
      <c r="G35" s="3"/>
      <c r="H35" s="3"/>
    </row>
    <row r="36" spans="1:8" ht="42" customHeight="1">
      <c r="A36" s="4"/>
      <c r="B36" s="4"/>
      <c r="C36" s="18" t="s">
        <v>392</v>
      </c>
      <c r="D36" s="4" t="s">
        <v>925</v>
      </c>
      <c r="E36" s="4"/>
      <c r="F36" s="4"/>
      <c r="G36" s="4"/>
      <c r="H36" s="4"/>
    </row>
  </sheetData>
  <mergeCells count="21">
    <mergeCell ref="A25:B25"/>
    <mergeCell ref="C25:J25"/>
    <mergeCell ref="A26:B26"/>
    <mergeCell ref="C26:J26"/>
    <mergeCell ref="A28:J28"/>
    <mergeCell ref="A22:J22"/>
    <mergeCell ref="A23:B23"/>
    <mergeCell ref="C23:J23"/>
    <mergeCell ref="A24:B24"/>
    <mergeCell ref="C24:J24"/>
    <mergeCell ref="A18:B18"/>
    <mergeCell ref="C18:J18"/>
    <mergeCell ref="A19:B19"/>
    <mergeCell ref="C19:J19"/>
    <mergeCell ref="A20:B20"/>
    <mergeCell ref="C20:J20"/>
    <mergeCell ref="A15:J15"/>
    <mergeCell ref="A16:B16"/>
    <mergeCell ref="C16:J16"/>
    <mergeCell ref="A17:B17"/>
    <mergeCell ref="C17:J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Legacy Discovery</vt:lpstr>
      <vt:lpstr>NFR Register</vt:lpstr>
      <vt:lpstr>System Diagram Gate</vt:lpstr>
      <vt:lpstr>Team Capability</vt:lpstr>
      <vt:lpstr>Technology Stack</vt:lpstr>
      <vt:lpstr>Integration Contracts</vt:lpstr>
      <vt:lpstr>Client Questionnaire</vt:lpstr>
      <vt:lpstr>Reference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ekzarov</cp:lastModifiedBy>
  <dcterms:modified xsi:type="dcterms:W3CDTF">2026-09-04T12:51:00Z</dcterms:modified>
</cp:coreProperties>
</file>